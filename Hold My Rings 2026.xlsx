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persons/person.xml" ContentType="application/vnd.ms-excel.person+xml"/>
  <Override PartName="/xl/calcChain.xml" ContentType="application/vnd.openxmlformats-officedocument.spreadsheetml.calcChain+xml"/>
  <Override PartName="/xl/webextensions/taskpanes.xml" ContentType="application/vnd.ms-office.webextensiontaskpanes+xml"/>
  <Override PartName="/xl/webextensions/webextension1.xml" ContentType="application/vnd.ms-office.webextensio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11/relationships/webextensiontaskpanes" Target="xl/webextensions/taskpanes.xml"/><Relationship Id="rId1" Type="http://schemas.openxmlformats.org/officeDocument/2006/relationships/officeDocument" Target="xl/workbook.xml"/><Relationship Id="rId5" Type="http://schemas.openxmlformats.org/officeDocument/2006/relationships/custom-properties" Target="docProps/custom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j24ri\Desktop\Fantasy Football\Hold My Rings\2026\"/>
    </mc:Choice>
  </mc:AlternateContent>
  <xr:revisionPtr revIDLastSave="0" documentId="13_ncr:1_{BD97ADF1-F4FB-4164-A6E7-CF5B1F9E4A5C}" xr6:coauthVersionLast="47" xr6:coauthVersionMax="47" xr10:uidLastSave="{00000000-0000-0000-0000-000000000000}"/>
  <bookViews>
    <workbookView xWindow="-120" yWindow="-120" windowWidth="29040" windowHeight="15720" tabRatio="934" firstSheet="11" activeTab="12" xr2:uid="{8AE3EB2B-1306-4502-B133-878CD5778C1A}"/>
  </bookViews>
  <sheets>
    <sheet name="Rules" sheetId="43" r:id="rId1"/>
    <sheet name="League Settings" sheetId="44" r:id="rId2"/>
    <sheet name="Draft Order-Traded Picks" sheetId="46" r:id="rId3"/>
    <sheet name="2026 Keeper Draft Spot" sheetId="48" r:id="rId4"/>
    <sheet name="jen's Legendary Team" sheetId="54" r:id="rId5"/>
    <sheet name="The real sultan" sheetId="55" r:id="rId6"/>
    <sheet name="Aarons got a Gun" sheetId="56" r:id="rId7"/>
    <sheet name="Prestige Worldwide" sheetId="57" r:id="rId8"/>
    <sheet name="Colin for the win" sheetId="58" r:id="rId9"/>
    <sheet name="The V&amp;G Express" sheetId="59" r:id="rId10"/>
    <sheet name="Maye I put it in your Boutte" sheetId="60" r:id="rId11"/>
    <sheet name="Leeroy Judkins" sheetId="61" r:id="rId12"/>
    <sheet name="Any given Sunday" sheetId="62" r:id="rId13"/>
    <sheet name="Saquon deez nutz" sheetId="63" r:id="rId14"/>
    <sheet name="2025 Draft Results (Detailed)" sheetId="42" r:id="rId15"/>
    <sheet name="2026 ADP (PPR)" sheetId="50" r:id="rId16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41" i="63" l="1" a="1"/>
  <c r="A41" i="63" s="1"/>
  <c r="A41" i="62" a="1"/>
  <c r="A41" i="62"/>
  <c r="A41" i="61" a="1"/>
  <c r="A41" i="61" s="1"/>
  <c r="A41" i="60" a="1"/>
  <c r="A41" i="60"/>
  <c r="A41" i="59" a="1"/>
  <c r="A41" i="59" s="1"/>
  <c r="A41" i="58" a="1"/>
  <c r="A41" i="58"/>
  <c r="A41" i="57" a="1"/>
  <c r="A41" i="57" s="1"/>
  <c r="A41" i="56" a="1"/>
  <c r="A41" i="56"/>
  <c r="A41" i="55" a="1"/>
  <c r="A41" i="55" s="1"/>
  <c r="A41" i="54" a="1"/>
  <c r="A41" i="54"/>
  <c r="A40" i="63" a="1"/>
  <c r="A40" i="63" s="1"/>
  <c r="A40" i="62" a="1"/>
  <c r="A40" i="62" s="1"/>
  <c r="A40" i="61" a="1"/>
  <c r="A40" i="61" s="1"/>
  <c r="A40" i="60" a="1"/>
  <c r="A40" i="60" s="1"/>
  <c r="A40" i="59" a="1"/>
  <c r="A40" i="59" s="1"/>
  <c r="A40" i="58" a="1"/>
  <c r="A40" i="58" s="1"/>
  <c r="A40" i="57" a="1"/>
  <c r="A40" i="57" s="1"/>
  <c r="A40" i="56" a="1"/>
  <c r="A40" i="56" s="1"/>
  <c r="A40" i="55" a="1"/>
  <c r="A40" i="55" s="1"/>
  <c r="A40" i="54" a="1"/>
  <c r="A40" i="54" s="1"/>
  <c r="C33" i="63"/>
  <c r="D33" i="63"/>
  <c r="E33" i="63"/>
  <c r="F33" i="63"/>
  <c r="J33" i="63" s="1"/>
  <c r="G33" i="63"/>
  <c r="H33" i="63"/>
  <c r="I33" i="63" s="1"/>
  <c r="A33" i="63"/>
  <c r="C33" i="62"/>
  <c r="D33" i="62"/>
  <c r="E33" i="62"/>
  <c r="F33" i="62"/>
  <c r="J33" i="62" s="1"/>
  <c r="G33" i="62"/>
  <c r="H33" i="62"/>
  <c r="I33" i="62" s="1"/>
  <c r="A33" i="62"/>
  <c r="C32" i="62"/>
  <c r="D32" i="62"/>
  <c r="E32" i="62"/>
  <c r="F32" i="62"/>
  <c r="J32" i="62" s="1"/>
  <c r="G32" i="62"/>
  <c r="H32" i="62"/>
  <c r="A32" i="62"/>
  <c r="C33" i="60"/>
  <c r="D33" i="60"/>
  <c r="E33" i="60"/>
  <c r="F33" i="60"/>
  <c r="J33" i="60" s="1"/>
  <c r="G33" i="60"/>
  <c r="H33" i="60"/>
  <c r="I33" i="60" s="1"/>
  <c r="A33" i="60"/>
  <c r="C32" i="60"/>
  <c r="D32" i="60"/>
  <c r="E32" i="60"/>
  <c r="F32" i="60"/>
  <c r="J32" i="60" s="1"/>
  <c r="G32" i="60"/>
  <c r="H32" i="60"/>
  <c r="I32" i="60" s="1"/>
  <c r="A32" i="60"/>
  <c r="C33" i="59"/>
  <c r="D33" i="59"/>
  <c r="E33" i="59"/>
  <c r="F33" i="59"/>
  <c r="J33" i="59" s="1"/>
  <c r="G33" i="59"/>
  <c r="H33" i="59"/>
  <c r="I33" i="59" s="1"/>
  <c r="A33" i="59"/>
  <c r="C32" i="59"/>
  <c r="D32" i="59"/>
  <c r="E32" i="59"/>
  <c r="F32" i="59"/>
  <c r="J32" i="59" s="1"/>
  <c r="G32" i="59"/>
  <c r="H32" i="59"/>
  <c r="A32" i="59"/>
  <c r="C33" i="58"/>
  <c r="D33" i="58"/>
  <c r="E33" i="58"/>
  <c r="F33" i="58"/>
  <c r="J33" i="58" s="1"/>
  <c r="G33" i="58"/>
  <c r="H33" i="58"/>
  <c r="I33" i="58" s="1"/>
  <c r="A33" i="58"/>
  <c r="C32" i="58"/>
  <c r="D32" i="58"/>
  <c r="E32" i="58"/>
  <c r="F32" i="58"/>
  <c r="J32" i="58" s="1"/>
  <c r="G32" i="58"/>
  <c r="H32" i="58"/>
  <c r="A32" i="58"/>
  <c r="C33" i="57"/>
  <c r="D33" i="57"/>
  <c r="E33" i="57"/>
  <c r="F33" i="57"/>
  <c r="J33" i="57" s="1"/>
  <c r="G33" i="57"/>
  <c r="H33" i="57"/>
  <c r="I33" i="57" s="1"/>
  <c r="A33" i="57"/>
  <c r="C32" i="57"/>
  <c r="D32" i="57"/>
  <c r="E32" i="57"/>
  <c r="F32" i="57"/>
  <c r="J32" i="57" s="1"/>
  <c r="G32" i="57"/>
  <c r="H32" i="57"/>
  <c r="A32" i="57"/>
  <c r="C33" i="56"/>
  <c r="D33" i="56"/>
  <c r="E33" i="56"/>
  <c r="F33" i="56"/>
  <c r="J33" i="56" s="1"/>
  <c r="G33" i="56"/>
  <c r="H33" i="56"/>
  <c r="I33" i="56" s="1"/>
  <c r="A33" i="56"/>
  <c r="C32" i="56"/>
  <c r="D32" i="56"/>
  <c r="E32" i="56"/>
  <c r="F32" i="56"/>
  <c r="J32" i="56" s="1"/>
  <c r="G32" i="56"/>
  <c r="H32" i="56"/>
  <c r="I32" i="56" s="1"/>
  <c r="A32" i="56"/>
  <c r="C33" i="55"/>
  <c r="D33" i="55"/>
  <c r="E33" i="55"/>
  <c r="F33" i="55"/>
  <c r="J33" i="55" s="1"/>
  <c r="G33" i="55"/>
  <c r="H33" i="55"/>
  <c r="I33" i="55" s="1"/>
  <c r="A33" i="55"/>
  <c r="C32" i="55"/>
  <c r="D32" i="55"/>
  <c r="E32" i="55"/>
  <c r="F32" i="55"/>
  <c r="J32" i="55" s="1"/>
  <c r="G32" i="55"/>
  <c r="H32" i="55"/>
  <c r="A32" i="55"/>
  <c r="C33" i="54"/>
  <c r="D33" i="54"/>
  <c r="E33" i="54"/>
  <c r="F33" i="54"/>
  <c r="J33" i="54" s="1"/>
  <c r="G33" i="54"/>
  <c r="H33" i="54"/>
  <c r="I33" i="54" s="1"/>
  <c r="A33" i="54"/>
  <c r="C32" i="54"/>
  <c r="D32" i="54"/>
  <c r="E32" i="54"/>
  <c r="F32" i="54"/>
  <c r="J32" i="54" s="1"/>
  <c r="G32" i="54"/>
  <c r="H32" i="54"/>
  <c r="A32" i="54"/>
  <c r="I4" i="50"/>
  <c r="I5" i="50"/>
  <c r="I6" i="50"/>
  <c r="I7" i="50"/>
  <c r="I8" i="50"/>
  <c r="I9" i="50"/>
  <c r="I10" i="50"/>
  <c r="I11" i="50"/>
  <c r="I12" i="50"/>
  <c r="I13" i="50"/>
  <c r="I14" i="50"/>
  <c r="I15" i="50"/>
  <c r="I16" i="50"/>
  <c r="I17" i="50"/>
  <c r="I18" i="50"/>
  <c r="I19" i="50"/>
  <c r="I20" i="50"/>
  <c r="I21" i="50"/>
  <c r="I22" i="50"/>
  <c r="I23" i="50"/>
  <c r="I24" i="50"/>
  <c r="I25" i="50"/>
  <c r="I26" i="50"/>
  <c r="I27" i="50"/>
  <c r="I28" i="50"/>
  <c r="I29" i="50"/>
  <c r="I30" i="50"/>
  <c r="I31" i="50"/>
  <c r="I32" i="50"/>
  <c r="I33" i="50"/>
  <c r="I34" i="50"/>
  <c r="I35" i="50"/>
  <c r="I36" i="50"/>
  <c r="I37" i="50"/>
  <c r="I38" i="50"/>
  <c r="I39" i="50"/>
  <c r="I40" i="50"/>
  <c r="I41" i="50"/>
  <c r="I42" i="50"/>
  <c r="I43" i="50"/>
  <c r="I44" i="50"/>
  <c r="I45" i="50"/>
  <c r="I46" i="50"/>
  <c r="I47" i="50"/>
  <c r="I48" i="50"/>
  <c r="I49" i="50"/>
  <c r="I50" i="50"/>
  <c r="I51" i="50"/>
  <c r="I52" i="50"/>
  <c r="I53" i="50"/>
  <c r="I54" i="50"/>
  <c r="I55" i="50"/>
  <c r="I56" i="50"/>
  <c r="I57" i="50"/>
  <c r="I58" i="50"/>
  <c r="I59" i="50"/>
  <c r="I60" i="50"/>
  <c r="I61" i="50"/>
  <c r="I62" i="50"/>
  <c r="I63" i="50"/>
  <c r="I64" i="50"/>
  <c r="I65" i="50"/>
  <c r="I66" i="50"/>
  <c r="I67" i="50"/>
  <c r="I68" i="50"/>
  <c r="I69" i="50"/>
  <c r="I70" i="50"/>
  <c r="I71" i="50"/>
  <c r="I72" i="50"/>
  <c r="I73" i="50"/>
  <c r="I74" i="50"/>
  <c r="I75" i="50"/>
  <c r="I76" i="50"/>
  <c r="I77" i="50"/>
  <c r="I78" i="50"/>
  <c r="I79" i="50"/>
  <c r="I80" i="50"/>
  <c r="I81" i="50"/>
  <c r="I82" i="50"/>
  <c r="I83" i="50"/>
  <c r="I84" i="50"/>
  <c r="I85" i="50"/>
  <c r="I86" i="50"/>
  <c r="I87" i="50"/>
  <c r="I88" i="50"/>
  <c r="I89" i="50"/>
  <c r="I90" i="50"/>
  <c r="I91" i="50"/>
  <c r="I92" i="50"/>
  <c r="I93" i="50"/>
  <c r="I94" i="50"/>
  <c r="I95" i="50"/>
  <c r="I96" i="50"/>
  <c r="I97" i="50"/>
  <c r="I98" i="50"/>
  <c r="I99" i="50"/>
  <c r="I100" i="50"/>
  <c r="I101" i="50"/>
  <c r="I102" i="50"/>
  <c r="I103" i="50"/>
  <c r="I104" i="50"/>
  <c r="I105" i="50"/>
  <c r="I106" i="50"/>
  <c r="I107" i="50"/>
  <c r="I108" i="50"/>
  <c r="I109" i="50"/>
  <c r="I110" i="50"/>
  <c r="I111" i="50"/>
  <c r="I112" i="50"/>
  <c r="I113" i="50"/>
  <c r="I114" i="50"/>
  <c r="I115" i="50"/>
  <c r="I116" i="50"/>
  <c r="I117" i="50"/>
  <c r="I118" i="50"/>
  <c r="I119" i="50"/>
  <c r="I120" i="50"/>
  <c r="I121" i="50"/>
  <c r="I122" i="50"/>
  <c r="I123" i="50"/>
  <c r="I124" i="50"/>
  <c r="I125" i="50"/>
  <c r="I126" i="50"/>
  <c r="I127" i="50"/>
  <c r="I128" i="50"/>
  <c r="I129" i="50"/>
  <c r="I130" i="50"/>
  <c r="I131" i="50"/>
  <c r="I132" i="50"/>
  <c r="I133" i="50"/>
  <c r="I134" i="50"/>
  <c r="I135" i="50"/>
  <c r="I136" i="50"/>
  <c r="I137" i="50"/>
  <c r="I138" i="50"/>
  <c r="I139" i="50"/>
  <c r="I140" i="50"/>
  <c r="I141" i="50"/>
  <c r="I142" i="50"/>
  <c r="I143" i="50"/>
  <c r="I144" i="50"/>
  <c r="I145" i="50"/>
  <c r="I146" i="50"/>
  <c r="I147" i="50"/>
  <c r="I148" i="50"/>
  <c r="I149" i="50"/>
  <c r="I150" i="50"/>
  <c r="I151" i="50"/>
  <c r="I152" i="50"/>
  <c r="I153" i="50"/>
  <c r="I154" i="50"/>
  <c r="I155" i="50"/>
  <c r="I156" i="50"/>
  <c r="I157" i="50"/>
  <c r="I158" i="50"/>
  <c r="I159" i="50"/>
  <c r="I160" i="50"/>
  <c r="I161" i="50"/>
  <c r="I162" i="50"/>
  <c r="I163" i="50"/>
  <c r="I164" i="50"/>
  <c r="I165" i="50"/>
  <c r="I166" i="50"/>
  <c r="I167" i="50"/>
  <c r="I168" i="50"/>
  <c r="I169" i="50"/>
  <c r="I170" i="50"/>
  <c r="I171" i="50"/>
  <c r="I172" i="50"/>
  <c r="I173" i="50"/>
  <c r="I174" i="50"/>
  <c r="I175" i="50"/>
  <c r="I176" i="50"/>
  <c r="I177" i="50"/>
  <c r="I178" i="50"/>
  <c r="I179" i="50"/>
  <c r="I180" i="50"/>
  <c r="I181" i="50"/>
  <c r="I182" i="50"/>
  <c r="I3" i="50"/>
  <c r="G4" i="50"/>
  <c r="G5" i="50"/>
  <c r="G6" i="50"/>
  <c r="G7" i="50"/>
  <c r="G8" i="50"/>
  <c r="G9" i="50"/>
  <c r="G10" i="50"/>
  <c r="G11" i="50"/>
  <c r="G12" i="50"/>
  <c r="G13" i="50"/>
  <c r="G14" i="50"/>
  <c r="G15" i="50"/>
  <c r="G16" i="50"/>
  <c r="G17" i="50"/>
  <c r="G18" i="50"/>
  <c r="G19" i="50"/>
  <c r="G20" i="50"/>
  <c r="G21" i="50"/>
  <c r="G22" i="50"/>
  <c r="G23" i="50"/>
  <c r="G24" i="50"/>
  <c r="G25" i="50"/>
  <c r="G26" i="50"/>
  <c r="G27" i="50"/>
  <c r="G28" i="50"/>
  <c r="G29" i="50"/>
  <c r="G30" i="50"/>
  <c r="G31" i="50"/>
  <c r="G32" i="50"/>
  <c r="G33" i="50"/>
  <c r="G34" i="50"/>
  <c r="G35" i="50"/>
  <c r="G36" i="50"/>
  <c r="G37" i="50"/>
  <c r="G38" i="50"/>
  <c r="G39" i="50"/>
  <c r="G40" i="50"/>
  <c r="G41" i="50"/>
  <c r="G42" i="50"/>
  <c r="G43" i="50"/>
  <c r="G44" i="50"/>
  <c r="G45" i="50"/>
  <c r="G46" i="50"/>
  <c r="G47" i="50"/>
  <c r="G48" i="50"/>
  <c r="G49" i="50"/>
  <c r="G50" i="50"/>
  <c r="G51" i="50"/>
  <c r="G52" i="50"/>
  <c r="G53" i="50"/>
  <c r="G54" i="50"/>
  <c r="G55" i="50"/>
  <c r="G56" i="50"/>
  <c r="G57" i="50"/>
  <c r="G58" i="50"/>
  <c r="G59" i="50"/>
  <c r="G60" i="50"/>
  <c r="G61" i="50"/>
  <c r="G62" i="50"/>
  <c r="G63" i="50"/>
  <c r="G64" i="50"/>
  <c r="G65" i="50"/>
  <c r="G66" i="50"/>
  <c r="G67" i="50"/>
  <c r="G68" i="50"/>
  <c r="G69" i="50"/>
  <c r="G70" i="50"/>
  <c r="G71" i="50"/>
  <c r="G72" i="50"/>
  <c r="G73" i="50"/>
  <c r="G74" i="50"/>
  <c r="G75" i="50"/>
  <c r="G76" i="50"/>
  <c r="G77" i="50"/>
  <c r="G78" i="50"/>
  <c r="G79" i="50"/>
  <c r="G80" i="50"/>
  <c r="G81" i="50"/>
  <c r="G82" i="50"/>
  <c r="G83" i="50"/>
  <c r="G84" i="50"/>
  <c r="G85" i="50"/>
  <c r="G86" i="50"/>
  <c r="G87" i="50"/>
  <c r="G88" i="50"/>
  <c r="G89" i="50"/>
  <c r="G90" i="50"/>
  <c r="G91" i="50"/>
  <c r="G92" i="50"/>
  <c r="G93" i="50"/>
  <c r="G94" i="50"/>
  <c r="G95" i="50"/>
  <c r="G96" i="50"/>
  <c r="G97" i="50"/>
  <c r="G98" i="50"/>
  <c r="G99" i="50"/>
  <c r="G100" i="50"/>
  <c r="G101" i="50"/>
  <c r="G102" i="50"/>
  <c r="G103" i="50"/>
  <c r="G104" i="50"/>
  <c r="G105" i="50"/>
  <c r="G106" i="50"/>
  <c r="G107" i="50"/>
  <c r="G108" i="50"/>
  <c r="G109" i="50"/>
  <c r="G110" i="50"/>
  <c r="G111" i="50"/>
  <c r="G112" i="50"/>
  <c r="G113" i="50"/>
  <c r="G114" i="50"/>
  <c r="G115" i="50"/>
  <c r="G116" i="50"/>
  <c r="G117" i="50"/>
  <c r="G118" i="50"/>
  <c r="G119" i="50"/>
  <c r="G120" i="50"/>
  <c r="G121" i="50"/>
  <c r="G122" i="50"/>
  <c r="G123" i="50"/>
  <c r="G124" i="50"/>
  <c r="G125" i="50"/>
  <c r="G126" i="50"/>
  <c r="G127" i="50"/>
  <c r="G128" i="50"/>
  <c r="G129" i="50"/>
  <c r="G130" i="50"/>
  <c r="G131" i="50"/>
  <c r="G132" i="50"/>
  <c r="G133" i="50"/>
  <c r="G134" i="50"/>
  <c r="G135" i="50"/>
  <c r="G136" i="50"/>
  <c r="G137" i="50"/>
  <c r="G138" i="50"/>
  <c r="G139" i="50"/>
  <c r="G140" i="50"/>
  <c r="G141" i="50"/>
  <c r="G142" i="50"/>
  <c r="G143" i="50"/>
  <c r="G144" i="50"/>
  <c r="G145" i="50"/>
  <c r="G146" i="50"/>
  <c r="G147" i="50"/>
  <c r="G148" i="50"/>
  <c r="G149" i="50"/>
  <c r="G150" i="50"/>
  <c r="G151" i="50"/>
  <c r="G152" i="50"/>
  <c r="G153" i="50"/>
  <c r="G154" i="50"/>
  <c r="G155" i="50"/>
  <c r="G156" i="50"/>
  <c r="G157" i="50"/>
  <c r="G158" i="50"/>
  <c r="G159" i="50"/>
  <c r="G160" i="50"/>
  <c r="G161" i="50"/>
  <c r="G162" i="50"/>
  <c r="G163" i="50"/>
  <c r="G164" i="50"/>
  <c r="G165" i="50"/>
  <c r="G166" i="50"/>
  <c r="G167" i="50"/>
  <c r="G168" i="50"/>
  <c r="G169" i="50"/>
  <c r="G170" i="50"/>
  <c r="G171" i="50"/>
  <c r="G172" i="50"/>
  <c r="G173" i="50"/>
  <c r="G174" i="50"/>
  <c r="G175" i="50"/>
  <c r="G176" i="50"/>
  <c r="G177" i="50"/>
  <c r="G178" i="50"/>
  <c r="G179" i="50"/>
  <c r="G180" i="50"/>
  <c r="G181" i="50"/>
  <c r="G182" i="50"/>
  <c r="G3" i="50"/>
  <c r="J34" i="56" l="1"/>
  <c r="G34" i="57"/>
  <c r="J34" i="58"/>
  <c r="H34" i="57"/>
  <c r="G34" i="58"/>
  <c r="J34" i="59"/>
  <c r="H34" i="54"/>
  <c r="H34" i="55"/>
  <c r="G34" i="56"/>
  <c r="J34" i="57"/>
  <c r="H34" i="62"/>
  <c r="J34" i="55"/>
  <c r="H34" i="58"/>
  <c r="G34" i="59"/>
  <c r="G34" i="60"/>
  <c r="G34" i="54"/>
  <c r="J34" i="60"/>
  <c r="G34" i="55"/>
  <c r="I32" i="62"/>
  <c r="G34" i="62"/>
  <c r="H34" i="59"/>
  <c r="J34" i="54"/>
  <c r="J34" i="62"/>
  <c r="H34" i="56"/>
  <c r="H34" i="60"/>
  <c r="I32" i="55"/>
  <c r="I32" i="59"/>
  <c r="I32" i="54"/>
  <c r="I32" i="58"/>
  <c r="I32" i="57"/>
  <c r="B28" i="62" l="1"/>
  <c r="B28" i="57"/>
  <c r="B28" i="56"/>
  <c r="B28" i="63"/>
  <c r="B28" i="55"/>
  <c r="B28" i="58"/>
  <c r="B28" i="54"/>
  <c r="B28" i="59"/>
  <c r="B28" i="60"/>
  <c r="B28" i="61"/>
  <c r="G32" i="63" l="1"/>
  <c r="H32" i="63" s="1"/>
  <c r="A32" i="63"/>
  <c r="D32" i="63"/>
  <c r="F32" i="63"/>
  <c r="E32" i="63"/>
  <c r="C32" i="63"/>
  <c r="D33" i="61"/>
  <c r="E32" i="61"/>
  <c r="C32" i="61"/>
  <c r="C33" i="61"/>
  <c r="D32" i="61"/>
  <c r="E33" i="61"/>
  <c r="F32" i="61"/>
  <c r="F33" i="61"/>
  <c r="G32" i="61"/>
  <c r="G33" i="61"/>
  <c r="A33" i="61"/>
  <c r="A32" i="61"/>
  <c r="J32" i="63" l="1"/>
  <c r="J34" i="63" s="1"/>
  <c r="G34" i="63"/>
  <c r="H34" i="63"/>
  <c r="I32" i="63"/>
  <c r="G34" i="61"/>
  <c r="H32" i="61"/>
  <c r="J32" i="61" s="1"/>
  <c r="H33" i="61"/>
  <c r="I33" i="61" s="1"/>
  <c r="J33" i="61" l="1"/>
  <c r="J34" i="61" s="1"/>
  <c r="H34" i="61"/>
  <c r="I32" i="61"/>
</calcChain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<sst xmlns="http://schemas.openxmlformats.org/spreadsheetml/2006/main" count="2609" uniqueCount="697">
  <si>
    <t>ROUND 1</t>
  </si>
  <si>
    <t>Travis Kelce</t>
  </si>
  <si>
    <t>Christian McCaffrey</t>
  </si>
  <si>
    <t>ROUND 2</t>
  </si>
  <si>
    <t>Keenan Allen</t>
  </si>
  <si>
    <t>Joe Mixon</t>
  </si>
  <si>
    <t>Tyreek Hill</t>
  </si>
  <si>
    <t>Stefon Diggs</t>
  </si>
  <si>
    <t>ROUND 3</t>
  </si>
  <si>
    <t>Mike Evans</t>
  </si>
  <si>
    <t>Zach Ertz</t>
  </si>
  <si>
    <t>Derrick Henry</t>
  </si>
  <si>
    <t>Patrick Mahomes</t>
  </si>
  <si>
    <t>ROUND 4</t>
  </si>
  <si>
    <t>David Montgomery</t>
  </si>
  <si>
    <t>Cooper Kupp</t>
  </si>
  <si>
    <t>ROUND 5</t>
  </si>
  <si>
    <t>Josh Jacobs</t>
  </si>
  <si>
    <t>ROUND 6</t>
  </si>
  <si>
    <t>Evan Engram</t>
  </si>
  <si>
    <t>ROUND 7</t>
  </si>
  <si>
    <t>Austin Ekeler</t>
  </si>
  <si>
    <t>Kyler Murray</t>
  </si>
  <si>
    <t>Alvin Kamara</t>
  </si>
  <si>
    <t>ROUND 8</t>
  </si>
  <si>
    <t>Tony Pollard</t>
  </si>
  <si>
    <t>Nick Chubb</t>
  </si>
  <si>
    <t>James Conner</t>
  </si>
  <si>
    <t>ROUND 9</t>
  </si>
  <si>
    <t>ROUND 10</t>
  </si>
  <si>
    <t>Devin Singletary</t>
  </si>
  <si>
    <t>ROUND 11</t>
  </si>
  <si>
    <t>Lamar Jackson</t>
  </si>
  <si>
    <t>Jared Goff</t>
  </si>
  <si>
    <t>George Kittle</t>
  </si>
  <si>
    <t>ROUND 12</t>
  </si>
  <si>
    <t>Courtland Sutton</t>
  </si>
  <si>
    <t>ROUND 13</t>
  </si>
  <si>
    <t>Mark Andrews</t>
  </si>
  <si>
    <t>DK Metcalf</t>
  </si>
  <si>
    <t>ROUND 14</t>
  </si>
  <si>
    <t>ROUND 15</t>
  </si>
  <si>
    <t>Harrison Butker</t>
  </si>
  <si>
    <t>ROUND 16</t>
  </si>
  <si>
    <t>Dak Prescott</t>
  </si>
  <si>
    <t>Terry McLaurin</t>
  </si>
  <si>
    <t>Dallas Goedert</t>
  </si>
  <si>
    <t>Justin Herbert</t>
  </si>
  <si>
    <t>Tyler Bass</t>
  </si>
  <si>
    <t>Brandon Aiyuk</t>
  </si>
  <si>
    <t>J.K. Dobbins</t>
  </si>
  <si>
    <t>Calvin Ridley</t>
  </si>
  <si>
    <t>D'Andre Swift</t>
  </si>
  <si>
    <t>Jonathan Taylor</t>
  </si>
  <si>
    <t>T.J. Hockenson</t>
  </si>
  <si>
    <t>DJ Moore</t>
  </si>
  <si>
    <t>Jerry Jeudy</t>
  </si>
  <si>
    <t>Tee Higgins</t>
  </si>
  <si>
    <t>Jakobi Meyers</t>
  </si>
  <si>
    <t>Jalen Hurts</t>
  </si>
  <si>
    <t>Matthew Stafford</t>
  </si>
  <si>
    <t>Ja'Marr Chase</t>
  </si>
  <si>
    <t>Jaylen Waddle</t>
  </si>
  <si>
    <t>Darnell Mooney</t>
  </si>
  <si>
    <t>Saquon Barkley</t>
  </si>
  <si>
    <t>Najee Harris</t>
  </si>
  <si>
    <t>Joe Burrow</t>
  </si>
  <si>
    <t>Javonte Williams</t>
  </si>
  <si>
    <t>Dalton Schultz</t>
  </si>
  <si>
    <t>Chuba Hubbard</t>
  </si>
  <si>
    <t>Rhamondre Stevenson</t>
  </si>
  <si>
    <t>Chris
Colin for the win</t>
  </si>
  <si>
    <t>John
Aarons got a Gun</t>
  </si>
  <si>
    <t>Ben
Prestige Worldwide</t>
  </si>
  <si>
    <t>Breece Hall</t>
  </si>
  <si>
    <t>Amon-Ra St. Brown</t>
  </si>
  <si>
    <t>DeVonta Smith</t>
  </si>
  <si>
    <t>Drake London</t>
  </si>
  <si>
    <t>George Pickens</t>
  </si>
  <si>
    <t>David Njoku</t>
  </si>
  <si>
    <t>Chris Olave</t>
  </si>
  <si>
    <t>Evan McPherson</t>
  </si>
  <si>
    <t>Rachaad White</t>
  </si>
  <si>
    <t>Kenneth Walker III</t>
  </si>
  <si>
    <t>Jameson Williams</t>
  </si>
  <si>
    <t>Nico Collins</t>
  </si>
  <si>
    <t>Romeo Doubs</t>
  </si>
  <si>
    <t>Joe
The real sultan</t>
  </si>
  <si>
    <t>Kyren Williams</t>
  </si>
  <si>
    <t>Garrett Wilson</t>
  </si>
  <si>
    <t>Trevor Lawrence</t>
  </si>
  <si>
    <t>Christian Watson</t>
  </si>
  <si>
    <t>Robert
Any given Sunday</t>
  </si>
  <si>
    <t>Trey McBride</t>
  </si>
  <si>
    <t>Jahmyr Gibbs</t>
  </si>
  <si>
    <t>Tyjae Spears</t>
  </si>
  <si>
    <t>Quentin Johnston</t>
  </si>
  <si>
    <t>Jerome Ford</t>
  </si>
  <si>
    <t>Zach Charbonnet</t>
  </si>
  <si>
    <t>Jaylen Warren</t>
  </si>
  <si>
    <t>Puka Nacua</t>
  </si>
  <si>
    <t>Rashid Shaheed</t>
  </si>
  <si>
    <t>DeMario Douglas</t>
  </si>
  <si>
    <t>Sam LaPorta</t>
  </si>
  <si>
    <t>Jake Ferguson</t>
  </si>
  <si>
    <t>Jayden Reed</t>
  </si>
  <si>
    <t>Brock Purdy</t>
  </si>
  <si>
    <t>Jordan Addison</t>
  </si>
  <si>
    <t>Dalton Kincaid</t>
  </si>
  <si>
    <t>Zay Flowers</t>
  </si>
  <si>
    <t>Bijan Robinson</t>
  </si>
  <si>
    <t>Tyler Allgeier</t>
  </si>
  <si>
    <t>Josh Downs</t>
  </si>
  <si>
    <t>Cade Otton</t>
  </si>
  <si>
    <t>De'Von Achane</t>
  </si>
  <si>
    <t>Jaxon Smith-Njigba</t>
  </si>
  <si>
    <t>Brandon Aubrey</t>
  </si>
  <si>
    <t>Rashee Rice</t>
  </si>
  <si>
    <t>Tank Dell</t>
  </si>
  <si>
    <t>Travis Etienne Jr.</t>
  </si>
  <si>
    <t>Xavier Worthy</t>
  </si>
  <si>
    <t>Trey Benson</t>
  </si>
  <si>
    <t>Ka'imi Fairbairn</t>
  </si>
  <si>
    <t>A.J. Brown</t>
  </si>
  <si>
    <t>Rome Odunze</t>
  </si>
  <si>
    <t>Jonathon Brooks</t>
  </si>
  <si>
    <t>Kyle Pitts Sr.</t>
  </si>
  <si>
    <t>Brian Thomas Jr.</t>
  </si>
  <si>
    <t>Malik Nabers</t>
  </si>
  <si>
    <t>Aaron Jones Sr.</t>
  </si>
  <si>
    <t>Khalil Shakir</t>
  </si>
  <si>
    <t>Brock Bowers</t>
  </si>
  <si>
    <t>Caleb Williams</t>
  </si>
  <si>
    <t>Rico Dowdle</t>
  </si>
  <si>
    <t>Cameron Dicker</t>
  </si>
  <si>
    <t>Chase Brown</t>
  </si>
  <si>
    <t>Michael Pittman Jr.</t>
  </si>
  <si>
    <t>Jordan Love</t>
  </si>
  <si>
    <t>Jayden Daniels</t>
  </si>
  <si>
    <t>Keon Coleman</t>
  </si>
  <si>
    <t>Bucky Irving</t>
  </si>
  <si>
    <t>Adonai Mitchell</t>
  </si>
  <si>
    <t>Ladd McConkey</t>
  </si>
  <si>
    <t>Blake Corum</t>
  </si>
  <si>
    <t>Marvin Harrison Jr.</t>
  </si>
  <si>
    <t>Braelon Allen</t>
  </si>
  <si>
    <t>Jake Bates</t>
  </si>
  <si>
    <t>Ricky Pearsall</t>
  </si>
  <si>
    <t>Tyrone Tracy Jr.</t>
  </si>
  <si>
    <t>Sam Darnold</t>
  </si>
  <si>
    <t>Chris Boswell</t>
  </si>
  <si>
    <t>Tucker Kraft</t>
  </si>
  <si>
    <t>Jauan Jennings</t>
  </si>
  <si>
    <t>Bo Nix</t>
  </si>
  <si>
    <t>Drake Maye</t>
  </si>
  <si>
    <t>Jalen Coker</t>
  </si>
  <si>
    <t>Matthew Stafford - 8th</t>
  </si>
  <si>
    <t>Tyler Allgeier - 8th</t>
  </si>
  <si>
    <t>Jakobi Meyers - 8th</t>
  </si>
  <si>
    <t>Bo Nix - 8th</t>
  </si>
  <si>
    <t>Jerry Jeudy - 8th</t>
  </si>
  <si>
    <t>Rico Dowdle - 8th</t>
  </si>
  <si>
    <t>Chris Boswell - 8th</t>
  </si>
  <si>
    <t>Zach Ertz - 8th</t>
  </si>
  <si>
    <t>Romeo Doubs - 8th</t>
  </si>
  <si>
    <t>DJ Moore - 8th</t>
  </si>
  <si>
    <t>Zach Charbonnet - 8th</t>
  </si>
  <si>
    <t>Braelon Allen - 8th</t>
  </si>
  <si>
    <t>Trey Benson - 8th</t>
  </si>
  <si>
    <t>Blake Corum - 8th</t>
  </si>
  <si>
    <t>Cade Otton - 8th</t>
  </si>
  <si>
    <t>Quentin Johnston - 8th</t>
  </si>
  <si>
    <t>Tyrone Tracy Jr. - 8th</t>
  </si>
  <si>
    <t>Christian McCaffrey - 1st</t>
  </si>
  <si>
    <t>A.J. Brown - 2nd</t>
  </si>
  <si>
    <t>Ka'imi Fairbairn - 16th</t>
  </si>
  <si>
    <t>Keenan Allen - 8th</t>
  </si>
  <si>
    <t>Jordan Love - 8th</t>
  </si>
  <si>
    <t>Aaron Jones Sr. - 6th</t>
  </si>
  <si>
    <t>Kenneth Walker III - 4th</t>
  </si>
  <si>
    <t>Bijan Robinson - 1st</t>
  </si>
  <si>
    <t>Amon-Ra St. Brown - 1st</t>
  </si>
  <si>
    <t>Saquon Barkley - 1st</t>
  </si>
  <si>
    <t>Justin Jefferson</t>
  </si>
  <si>
    <t>Josh Allen</t>
  </si>
  <si>
    <t>Kevin
The V&amp;G Express</t>
  </si>
  <si>
    <t>Pos</t>
  </si>
  <si>
    <t>RB</t>
  </si>
  <si>
    <t>jen's Legendary Team</t>
  </si>
  <si>
    <t>Omarion Hampton</t>
  </si>
  <si>
    <t>Leeroy Judkins</t>
  </si>
  <si>
    <t>WR</t>
  </si>
  <si>
    <t>Any given Sunday</t>
  </si>
  <si>
    <t>CeeDee Lamb</t>
  </si>
  <si>
    <t>Team</t>
  </si>
  <si>
    <t>Received</t>
  </si>
  <si>
    <t>Kyle Monangai (Chi)</t>
  </si>
  <si>
    <t>Omarion Hampton (LAC)</t>
  </si>
  <si>
    <t>Puka Nacua (LAR)</t>
  </si>
  <si>
    <t>Xavier Worthy (KC)</t>
  </si>
  <si>
    <t>Rhamondre Stevenson (NE)</t>
  </si>
  <si>
    <t>CeeDee Lamb (Dal)</t>
  </si>
  <si>
    <t>Jaylen Warren (Pit)</t>
  </si>
  <si>
    <t>Round 7 Pick</t>
  </si>
  <si>
    <t>Round 12 Pick</t>
  </si>
  <si>
    <t>Round 11 Pick</t>
  </si>
  <si>
    <t>Round 2 Pick</t>
  </si>
  <si>
    <t>Round 10 Pick</t>
  </si>
  <si>
    <t>2025 Kept Player</t>
  </si>
  <si>
    <t>Texans</t>
  </si>
  <si>
    <t>Davante Adams</t>
  </si>
  <si>
    <t>Kaleb Johnson</t>
  </si>
  <si>
    <t>Chris Godwin Jr.</t>
  </si>
  <si>
    <t>Woody Marks</t>
  </si>
  <si>
    <t>Steelers</t>
  </si>
  <si>
    <t>Matthew Golden</t>
  </si>
  <si>
    <t>Bhayshul Tuten</t>
  </si>
  <si>
    <t>Broncos</t>
  </si>
  <si>
    <t>James Cook III</t>
  </si>
  <si>
    <t>Jordan Mason</t>
  </si>
  <si>
    <t>Hunter Henry</t>
  </si>
  <si>
    <t>Eagles</t>
  </si>
  <si>
    <t>Rashod Bateman</t>
  </si>
  <si>
    <t>Kyle Williams</t>
  </si>
  <si>
    <t>Isiah Pacheco</t>
  </si>
  <si>
    <t>Christian Kirk</t>
  </si>
  <si>
    <t>Dylan Sampson</t>
  </si>
  <si>
    <t>Brian Robinson</t>
  </si>
  <si>
    <t>Wil Lutz</t>
  </si>
  <si>
    <t>Lions</t>
  </si>
  <si>
    <t>TreVeyon Henderson</t>
  </si>
  <si>
    <t>Emeka Egbuka</t>
  </si>
  <si>
    <t>Jacory Croskey-Merritt</t>
  </si>
  <si>
    <t>Tyler Warren</t>
  </si>
  <si>
    <t>Jaydon Blue</t>
  </si>
  <si>
    <t>Ravens</t>
  </si>
  <si>
    <t>Ashton Jeanty</t>
  </si>
  <si>
    <t>Quinshon Judkins</t>
  </si>
  <si>
    <t>Ollie Gordon II</t>
  </si>
  <si>
    <t>Colston Loveland</t>
  </si>
  <si>
    <t>Jayden Higgins</t>
  </si>
  <si>
    <t>Luther Burden III</t>
  </si>
  <si>
    <t>Vikings</t>
  </si>
  <si>
    <t>AJ
Saquon deez nutz</t>
  </si>
  <si>
    <t>JR
Leeroy Judkins</t>
  </si>
  <si>
    <t>Tetairoa McMillan</t>
  </si>
  <si>
    <t>Deebo Samuel Sr.</t>
  </si>
  <si>
    <t>Cam Skattebo</t>
  </si>
  <si>
    <t>Wan'Dale Robinson</t>
  </si>
  <si>
    <t>Bills</t>
  </si>
  <si>
    <t>Nate
Maye I put it in your Boutte?</t>
  </si>
  <si>
    <t>RJ Harvey</t>
  </si>
  <si>
    <t>Travis Hunter</t>
  </si>
  <si>
    <t>Baker Mayfield</t>
  </si>
  <si>
    <t>Tank Bigsby</t>
  </si>
  <si>
    <t>Chiefs</t>
  </si>
  <si>
    <t>Shawn
jen's Legendary Team</t>
  </si>
  <si>
    <t>2025 Draft Results (Detailed)</t>
  </si>
  <si>
    <t>Hold My Rings — League Keeper &amp; Draft Rules</t>
  </si>
  <si>
    <t>#</t>
  </si>
  <si>
    <t>Rule</t>
  </si>
  <si>
    <t>Example / Exception</t>
  </si>
  <si>
    <t>KEEPER BASICS</t>
  </si>
  <si>
    <t>DRAFT ORDER</t>
  </si>
  <si>
    <t>KEEPER DRAFT POSITION</t>
  </si>
  <si>
    <t>TRADING</t>
  </si>
  <si>
    <t>COMMISSIONER'S NOTE</t>
  </si>
  <si>
    <t>Each team may keep two players.</t>
  </si>
  <si>
    <t>A keeper costs the round he was drafted in the prior year — unless he has been kept multiple years.</t>
  </si>
  <si>
    <t>Each additional year you keep a player, his keeper cost moves up one round.</t>
  </si>
  <si>
    <t>Draft order follows final regular season standings for teams that miss the playoffs.</t>
  </si>
  <si>
    <t>As teams are eliminated in the playoffs, the team with the better record picks later.</t>
  </si>
  <si>
    <t>Example: Both eliminated in the quarterfinal — Team 1 (9-5) gets pick 6, Team 2 (7-7) gets pick 5.</t>
  </si>
  <si>
    <t>If records are tied, the team with more regular season points picks later.</t>
  </si>
  <si>
    <t>A keeper claimed off waivers last season costs an 8th round pick.</t>
  </si>
  <si>
    <t>Exception: if you originally drafted him, he keeps his original draft spot — waiver rules do not apply.</t>
  </si>
  <si>
    <t>Keeping two players from the same round: the higher-ranked player (Yahoo rankings) costs one round earlier; the other keeps that round.</t>
  </si>
  <si>
    <t>Example: Two 3rd rounders — the better player costs a 2nd, the other a 3rd.</t>
  </si>
  <si>
    <t>Keeping two 1st rounders: the higher-ranked player (Yahoo) costs a 1st, the other a 2nd.</t>
  </si>
  <si>
    <t>A keeper acquired by trade costs the round he was drafted in the prior year.</t>
  </si>
  <si>
    <t>Exception: if he was claimed off waivers before the trade, he costs an 8th round pick.</t>
  </si>
  <si>
    <t>Roster players and draft picks may be traded before the draft.</t>
  </si>
  <si>
    <t>Pick limits: 16 picks max (one per draft selection), and 14 minimum if you keep two players.</t>
  </si>
  <si>
    <t>Offseason trading closes one week before keeper selections are due.</t>
  </si>
  <si>
    <t>Waiver-claimed players may be traded at 8th round keeper value.</t>
  </si>
  <si>
    <t>Keepers shouldn't be a fight — the system rewards good drafting and smart in-season moves. Raising keeper cost by a round each year makes you weigh a player's real value and frees up players who used to be locked away. Suggestions welcome.</t>
  </si>
  <si>
    <t>2025 League Settings &amp; Scoring</t>
  </si>
  <si>
    <t>LEAGUE &amp; DRAFT SETTINGS</t>
  </si>
  <si>
    <t>Draft Type</t>
  </si>
  <si>
    <t>Live Standard Draft</t>
  </si>
  <si>
    <t>Max Teams</t>
  </si>
  <si>
    <t>Live Draft Pick Time</t>
  </si>
  <si>
    <t>1 minute, 15 seconds</t>
  </si>
  <si>
    <t>Trade End Date</t>
  </si>
  <si>
    <t>Yes</t>
  </si>
  <si>
    <t>Waiver Time</t>
  </si>
  <si>
    <t>2 days</t>
  </si>
  <si>
    <t>Waiver Type</t>
  </si>
  <si>
    <t>FAB w/ continual rolling list tiebreak</t>
  </si>
  <si>
    <t>Weekly Waivers</t>
  </si>
  <si>
    <t>Game time - Tuesday</t>
  </si>
  <si>
    <t>Injured players from waivers/FA direct to IR slot</t>
  </si>
  <si>
    <t>Playoffs</t>
  </si>
  <si>
    <t>6 teams - Weeks 15, 16 and 17 (ends Monday, Dec 29)</t>
  </si>
  <si>
    <t>Playoff Tie-Breaker</t>
  </si>
  <si>
    <t>Best regular season record vs. opponent wins</t>
  </si>
  <si>
    <t>Playoff Reseeding</t>
  </si>
  <si>
    <t>Roster Positions</t>
  </si>
  <si>
    <t>QB, WR, WR, WR, RB, RB, TE, W/R/T, K, DEF, BN, BN, BN, BN, BN, BN, IR, IR</t>
  </si>
  <si>
    <t>SCORING - OFFENSE</t>
  </si>
  <si>
    <t>Category</t>
  </si>
  <si>
    <t>League Value</t>
  </si>
  <si>
    <t>Yahoo Default Value</t>
  </si>
  <si>
    <t>Passing Yards</t>
  </si>
  <si>
    <t>25 yards per point; 6 points at 400 yards</t>
  </si>
  <si>
    <t>Passing Touchdowns</t>
  </si>
  <si>
    <t>Interceptions</t>
  </si>
  <si>
    <t>Rushing Yards</t>
  </si>
  <si>
    <t>10 yards per point; 6 points at 200 yards</t>
  </si>
  <si>
    <t>Rushing Touchdowns</t>
  </si>
  <si>
    <t>Receptions</t>
  </si>
  <si>
    <t>Receiving Yards</t>
  </si>
  <si>
    <t>Receiving Touchdowns</t>
  </si>
  <si>
    <t>Return Touchdowns</t>
  </si>
  <si>
    <t>2-Point Conversions</t>
  </si>
  <si>
    <t>Fumbles Lost</t>
  </si>
  <si>
    <t>Offensive Fumble Return TD</t>
  </si>
  <si>
    <t>SCORING - KICKERS</t>
  </si>
  <si>
    <t>Field Goals 0-19 Yards</t>
  </si>
  <si>
    <t>Field Goals 20-29 Yards</t>
  </si>
  <si>
    <t>Field Goals 30-39 Yards</t>
  </si>
  <si>
    <t>Field Goals 40-49 Yards</t>
  </si>
  <si>
    <t>Field Goals 50+ Yards</t>
  </si>
  <si>
    <t>Point After Attempt Made</t>
  </si>
  <si>
    <t>SCORING - DEFENSE / SPECIAL TEAMS</t>
  </si>
  <si>
    <t>Sack</t>
  </si>
  <si>
    <t>Interception</t>
  </si>
  <si>
    <t>Fumble Recovery</t>
  </si>
  <si>
    <t>Touchdown</t>
  </si>
  <si>
    <t>Safety</t>
  </si>
  <si>
    <t>Block Kick</t>
  </si>
  <si>
    <t>Kickoff and Punt Return Touchdowns</t>
  </si>
  <si>
    <t>Points Allowed 0 points</t>
  </si>
  <si>
    <t>Points Allowed 1-6 points</t>
  </si>
  <si>
    <t>Points Allowed 7-13 points</t>
  </si>
  <si>
    <t>Points Allowed 14-20 points</t>
  </si>
  <si>
    <t>Points Allowed 21-27 points</t>
  </si>
  <si>
    <t>Points Allowed 28-34 points</t>
  </si>
  <si>
    <t>Points Allowed 35+ points</t>
  </si>
  <si>
    <t>4th Down Stops</t>
  </si>
  <si>
    <t>Defensive Yards Allowed - Negative</t>
  </si>
  <si>
    <t>Extra Point Returned</t>
  </si>
  <si>
    <t>10</t>
  </si>
  <si>
    <t>December 5, 2026</t>
  </si>
  <si>
    <t>Player</t>
  </si>
  <si>
    <t>Saquon deez nutz</t>
  </si>
  <si>
    <t>Colin for the win</t>
  </si>
  <si>
    <t>Aarons got a Gun</t>
  </si>
  <si>
    <t>The V&amp;G Express</t>
  </si>
  <si>
    <t>The real sultan</t>
  </si>
  <si>
    <t>Prestige Worldwide</t>
  </si>
  <si>
    <t>Maye I put it in your Boutte?</t>
  </si>
  <si>
    <t>Harold Fannin Jr.</t>
  </si>
  <si>
    <t>Isaac TeSlaa</t>
  </si>
  <si>
    <t>Oronde Gadsden</t>
  </si>
  <si>
    <t>Chimere Dike</t>
  </si>
  <si>
    <t>Kenny Gainwell</t>
  </si>
  <si>
    <t>Brenton Strange</t>
  </si>
  <si>
    <t>Bam Knight</t>
  </si>
  <si>
    <t>Hassan Haskins</t>
  </si>
  <si>
    <t>Chase McLaughlin</t>
  </si>
  <si>
    <t>Jaguars</t>
  </si>
  <si>
    <t>Kayshon Boutte</t>
  </si>
  <si>
    <t>Buccaneers</t>
  </si>
  <si>
    <t>Alec Pierce</t>
  </si>
  <si>
    <t>Kyle Monangai</t>
  </si>
  <si>
    <t>Cam Little</t>
  </si>
  <si>
    <t>Falcons</t>
  </si>
  <si>
    <t>Michael Wilson</t>
  </si>
  <si>
    <t>Devaughn Vele</t>
  </si>
  <si>
    <t>Parker Washington</t>
  </si>
  <si>
    <t>Will Reichard</t>
  </si>
  <si>
    <t>Patriots</t>
  </si>
  <si>
    <t>AJ Barner</t>
  </si>
  <si>
    <t>Jaxson Dart</t>
  </si>
  <si>
    <t>Seahawks</t>
  </si>
  <si>
    <t>Tre Tucker</t>
  </si>
  <si>
    <t>Matt Prater</t>
  </si>
  <si>
    <t>Devin Neal</t>
  </si>
  <si>
    <t>Jacoby Brissett</t>
  </si>
  <si>
    <t>Rams</t>
  </si>
  <si>
    <t>Juwan Johnson</t>
  </si>
  <si>
    <t>Kareem Hunt</t>
  </si>
  <si>
    <t>Alvin Kamara - 3rd</t>
  </si>
  <si>
    <t>Xavier Worthy - 5th</t>
  </si>
  <si>
    <t>Jaylen Warren - 7th</t>
  </si>
  <si>
    <t>Alec Pierce - 8th</t>
  </si>
  <si>
    <t>Brian Thomas Jr. - 8th</t>
  </si>
  <si>
    <t>Cam Little - 8th</t>
  </si>
  <si>
    <t>Devin Singletary - 8th</t>
  </si>
  <si>
    <t>Falcons - 8th</t>
  </si>
  <si>
    <t>Kyle Monangai - 8th</t>
  </si>
  <si>
    <t>Kyle Pitts Sr. - 8th</t>
  </si>
  <si>
    <t>Michael Pittman Jr. - 10th</t>
  </si>
  <si>
    <t>Jayden Reed - 11th</t>
  </si>
  <si>
    <t>T.J. Hockenson - 12th</t>
  </si>
  <si>
    <t>Jahmyr Gibbs - 1st</t>
  </si>
  <si>
    <t>Chase Brown - 2nd</t>
  </si>
  <si>
    <t>Tyreek Hill - 3rd</t>
  </si>
  <si>
    <t>Davante Adams - 4th</t>
  </si>
  <si>
    <t>DeVonta Smith - 5th</t>
  </si>
  <si>
    <t>Travis Kelce - 6th</t>
  </si>
  <si>
    <t>AJ Barner - 8th</t>
  </si>
  <si>
    <t>Caleb Williams - 8th</t>
  </si>
  <si>
    <t>Jaxon Smith-Njigba - 8th</t>
  </si>
  <si>
    <t>Jaxson Dart - 8th</t>
  </si>
  <si>
    <t>Seahawks - 8th</t>
  </si>
  <si>
    <t>Joe Mixon - 11th</t>
  </si>
  <si>
    <t>Chris Godwin Jr. - 12th</t>
  </si>
  <si>
    <t>Woody Marks - 14th</t>
  </si>
  <si>
    <t>Jonathan Taylor - 2nd</t>
  </si>
  <si>
    <t>Terry McLaurin - 3rd</t>
  </si>
  <si>
    <t>Marvin Harrison Jr. - 4th</t>
  </si>
  <si>
    <t>David Montgomery - 5th</t>
  </si>
  <si>
    <t>Rashee Rice - 7th</t>
  </si>
  <si>
    <t>Dalton Schultz - 8th</t>
  </si>
  <si>
    <t>Juwan Johnson - 8th</t>
  </si>
  <si>
    <t>Trevor Lawrence - 8th</t>
  </si>
  <si>
    <t>Wan'Dale Robinson - 8th</t>
  </si>
  <si>
    <t>Ladd McConkey - 10th</t>
  </si>
  <si>
    <t>Broncos - 12th</t>
  </si>
  <si>
    <t>Bucky Irving - 13th</t>
  </si>
  <si>
    <t>Derrick Henry - 1st</t>
  </si>
  <si>
    <t>James Cook III - 3rd</t>
  </si>
  <si>
    <t>Zay Flowers - 4th</t>
  </si>
  <si>
    <t>Jordan Addison - 5th</t>
  </si>
  <si>
    <t>Tony Pollard - 5th</t>
  </si>
  <si>
    <t>Tucker Kraft - 7th</t>
  </si>
  <si>
    <t>Buccaneers - 8th</t>
  </si>
  <si>
    <t>Jordan Mason - 8th</t>
  </si>
  <si>
    <t>Kayshon Boutte - 8th</t>
  </si>
  <si>
    <t>Drake Maye - 9th</t>
  </si>
  <si>
    <t>Jameson Williams - 9th</t>
  </si>
  <si>
    <t>Josh Downs - 11th</t>
  </si>
  <si>
    <t>Hunter Henry - 12th</t>
  </si>
  <si>
    <t>Cameron Dicker - 14th</t>
  </si>
  <si>
    <t>Chuba Hubbard - 3rd</t>
  </si>
  <si>
    <t>Justin Jefferson - 5th</t>
  </si>
  <si>
    <t>Rome Odunze - 7th</t>
  </si>
  <si>
    <t>Bam Knight - 8th</t>
  </si>
  <si>
    <t>Brenton Strange - 8th</t>
  </si>
  <si>
    <t>Chase McLaughlin - 8th</t>
  </si>
  <si>
    <t>Chimere Dike - 8th</t>
  </si>
  <si>
    <t>Hassan Haskins - 8th</t>
  </si>
  <si>
    <t>Jaguars - 8th</t>
  </si>
  <si>
    <t>Jared Goff - 8th</t>
  </si>
  <si>
    <t>Kenny Gainwell - 8th</t>
  </si>
  <si>
    <t>Tyjae Spears - 8th</t>
  </si>
  <si>
    <t>Rashid Shaheed - 12th</t>
  </si>
  <si>
    <t>Drake London - 1st</t>
  </si>
  <si>
    <t>TreVeyon Henderson - 3rd</t>
  </si>
  <si>
    <t>George Pickens - 4th</t>
  </si>
  <si>
    <t>Courtland Sutton - 5th</t>
  </si>
  <si>
    <t>Emeka Egbuka - 6th</t>
  </si>
  <si>
    <t>Kyren Williams - 6th</t>
  </si>
  <si>
    <t>Christian Watson - 8th</t>
  </si>
  <si>
    <t>Devin Neal - 8th</t>
  </si>
  <si>
    <t>Evan McPherson - 8th</t>
  </si>
  <si>
    <t>Jacoby Brissett - 8th</t>
  </si>
  <si>
    <t>Jayden Higgins - 8th</t>
  </si>
  <si>
    <t>Joe Burrow - 8th</t>
  </si>
  <si>
    <t>Rams - 8th</t>
  </si>
  <si>
    <t>Tyler Warren - 10th</t>
  </si>
  <si>
    <t>Ashton Jeanty - 1st</t>
  </si>
  <si>
    <t>Trey McBride - 2nd</t>
  </si>
  <si>
    <t>Omarion Hampton - 3rd</t>
  </si>
  <si>
    <t>Jaylen Waddle - 6th</t>
  </si>
  <si>
    <t>Stefon Diggs - 7th</t>
  </si>
  <si>
    <t>Bhayshul Tuten - 8th</t>
  </si>
  <si>
    <t>Harold Fannin Jr. - 8th</t>
  </si>
  <si>
    <t>Isaac TeSlaa - 8th</t>
  </si>
  <si>
    <t>Kaleb Johnson - 8th</t>
  </si>
  <si>
    <t>Kyle Williams - 8th</t>
  </si>
  <si>
    <t>Nico Collins - 8th</t>
  </si>
  <si>
    <t>Oronde Gadsden - 8th</t>
  </si>
  <si>
    <t>Josh Allen - 10th</t>
  </si>
  <si>
    <t>Quinshon Judkins - 10th</t>
  </si>
  <si>
    <t>Lamar Jackson - 2nd</t>
  </si>
  <si>
    <t>Malik Nabers - 2nd</t>
  </si>
  <si>
    <t>Garrett Wilson - 4th</t>
  </si>
  <si>
    <t>D'Andre Swift - 5th</t>
  </si>
  <si>
    <t>Chris Olave - 6th</t>
  </si>
  <si>
    <t>Adonai Mitchell - 8th</t>
  </si>
  <si>
    <t>Isiah Pacheco - 8th</t>
  </si>
  <si>
    <t>Jayden Daniels - 8th</t>
  </si>
  <si>
    <t>Luther Burden III - 8th</t>
  </si>
  <si>
    <t>Matt Prater - 8th</t>
  </si>
  <si>
    <t>Texans - 8th</t>
  </si>
  <si>
    <t>Tre Tucker - 8th</t>
  </si>
  <si>
    <t>Travis Etienne Jr. - 9th</t>
  </si>
  <si>
    <t>Khalil Shakir - 10th</t>
  </si>
  <si>
    <t>Brandon Aiyuk - 11th</t>
  </si>
  <si>
    <t>Brock Bowers - 11th</t>
  </si>
  <si>
    <t>Justin Herbert - 13th</t>
  </si>
  <si>
    <t>Josh Jacobs - 1st</t>
  </si>
  <si>
    <t>Mike Evans - 2nd</t>
  </si>
  <si>
    <t>Tee Higgins - 2nd</t>
  </si>
  <si>
    <t>Breece Hall - 4th</t>
  </si>
  <si>
    <t>Tetairoa McMillan - 5th</t>
  </si>
  <si>
    <t>Mark Andrews - 7th</t>
  </si>
  <si>
    <t>Dak Prescott - 8th</t>
  </si>
  <si>
    <t>Deebo Samuel Sr. - 8th</t>
  </si>
  <si>
    <t>Kareem Hunt - 8th</t>
  </si>
  <si>
    <t>De'Von Achane - 9th</t>
  </si>
  <si>
    <t>Cam Skattebo - 11th</t>
  </si>
  <si>
    <t>Brandon Aubrey - 12th</t>
  </si>
  <si>
    <t>Bills - 15th</t>
  </si>
  <si>
    <t>Dallas Goedert - 16th</t>
  </si>
  <si>
    <t>George Kittle - 2nd</t>
  </si>
  <si>
    <t>Ja'Marr Chase - 2nd</t>
  </si>
  <si>
    <t>RJ Harvey - 4th</t>
  </si>
  <si>
    <t>Ricky Pearsall - 5th</t>
  </si>
  <si>
    <t>Travis Hunter - 6th</t>
  </si>
  <si>
    <t>Brock Purdy - 8th</t>
  </si>
  <si>
    <t>Devaughn Vele - 8th</t>
  </si>
  <si>
    <t>Eagles - 8th</t>
  </si>
  <si>
    <t>J.K. Dobbins - 8th</t>
  </si>
  <si>
    <t>Michael Wilson - 8th</t>
  </si>
  <si>
    <t>Parker Washington - 8th</t>
  </si>
  <si>
    <t>Patriots - 8th</t>
  </si>
  <si>
    <t>Will Reichard - 8th</t>
  </si>
  <si>
    <t>Jauan Jennings - 9th</t>
  </si>
  <si>
    <t>Baker Mayfield - 11th</t>
  </si>
  <si>
    <t>Javonte Williams - 12th</t>
  </si>
  <si>
    <t>Jake Ferguson - 14th</t>
  </si>
  <si>
    <t>Jalen Hurts - 2nd</t>
  </si>
  <si>
    <t>Puka Nacua - 2nd</t>
  </si>
  <si>
    <t>CeeDee Lamb - 1st</t>
  </si>
  <si>
    <t>Traded Pick</t>
  </si>
  <si>
    <t>Cell = new owner</t>
  </si>
  <si>
    <t>2026 DRAFT ORDER AND TRADED PICKS</t>
  </si>
  <si>
    <t>2026 KEEPER DRAFT SPOT - cost to keep each player next season</t>
  </si>
  <si>
    <t>2025 TRADES</t>
  </si>
  <si>
    <t>2026 ADP - FULL PPR (closest match to league scoring: 1.0 PPR, 6-pt pass TD)</t>
  </si>
  <si>
    <t>ADP Rank</t>
  </si>
  <si>
    <t>NFL</t>
  </si>
  <si>
    <t>Bye</t>
  </si>
  <si>
    <t>ADP</t>
  </si>
  <si>
    <t>Est. Rd (10-tm)</t>
  </si>
  <si>
    <t>Currently Rostered By</t>
  </si>
  <si>
    <t>ATL</t>
  </si>
  <si>
    <t>DET</t>
  </si>
  <si>
    <t>LAR</t>
  </si>
  <si>
    <t>CIN</t>
  </si>
  <si>
    <t>SEA</t>
  </si>
  <si>
    <t>SF</t>
  </si>
  <si>
    <t>IND</t>
  </si>
  <si>
    <t>MIA</t>
  </si>
  <si>
    <t>DAL</t>
  </si>
  <si>
    <t>MIN</t>
  </si>
  <si>
    <t>BUF</t>
  </si>
  <si>
    <t>KC</t>
  </si>
  <si>
    <t>LV</t>
  </si>
  <si>
    <t>BAL</t>
  </si>
  <si>
    <t>NE</t>
  </si>
  <si>
    <t>PHI</t>
  </si>
  <si>
    <t>LAC</t>
  </si>
  <si>
    <t>NO</t>
  </si>
  <si>
    <t>HOU</t>
  </si>
  <si>
    <t>Kenneth Walker</t>
  </si>
  <si>
    <t>NYJ</t>
  </si>
  <si>
    <t>NYG</t>
  </si>
  <si>
    <t>Jeremiyah Love</t>
  </si>
  <si>
    <t>ARI</t>
  </si>
  <si>
    <t>GB</t>
  </si>
  <si>
    <t>QB</t>
  </si>
  <si>
    <t>TE</t>
  </si>
  <si>
    <t>CAR</t>
  </si>
  <si>
    <t>TB</t>
  </si>
  <si>
    <t>WAS</t>
  </si>
  <si>
    <t>CHI</t>
  </si>
  <si>
    <t>DEN</t>
  </si>
  <si>
    <t>CLE</t>
  </si>
  <si>
    <t>JAX</t>
  </si>
  <si>
    <t>PIT</t>
  </si>
  <si>
    <t>TEN</t>
  </si>
  <si>
    <t>Carnell Tate</t>
  </si>
  <si>
    <t>Jadarian Price</t>
  </si>
  <si>
    <t>Denver Defense</t>
  </si>
  <si>
    <t>DEF</t>
  </si>
  <si>
    <t>Seattle Defense</t>
  </si>
  <si>
    <t>Jordyn Tyson</t>
  </si>
  <si>
    <t>Houston Defense</t>
  </si>
  <si>
    <t>Makai Lemon</t>
  </si>
  <si>
    <t>Minnesota Defense</t>
  </si>
  <si>
    <t>LA Rams Defense</t>
  </si>
  <si>
    <t>John Metchie III</t>
  </si>
  <si>
    <t>KC Concepcion</t>
  </si>
  <si>
    <t>New England Defense</t>
  </si>
  <si>
    <t>PK</t>
  </si>
  <si>
    <t>Detroit Defense</t>
  </si>
  <si>
    <t>Philadelphia Defense</t>
  </si>
  <si>
    <t>Isaiah Likely</t>
  </si>
  <si>
    <t>Tyler Shough</t>
  </si>
  <si>
    <t>Theo Wease Jr.</t>
  </si>
  <si>
    <t>Jason Myers</t>
  </si>
  <si>
    <t>Pittsburgh Defense</t>
  </si>
  <si>
    <t>Jalen McMillan</t>
  </si>
  <si>
    <t>San Francisco Defense</t>
  </si>
  <si>
    <t>LA Chargers Defense</t>
  </si>
  <si>
    <t>Denzel Boston</t>
  </si>
  <si>
    <t>Pat Bryant</t>
  </si>
  <si>
    <t>Mike Washington Jr.</t>
  </si>
  <si>
    <t>De'Zhaun Stribling</t>
  </si>
  <si>
    <t>Cyrus Allen</t>
  </si>
  <si>
    <t>Malik Washington</t>
  </si>
  <si>
    <t>Harrison Mevis</t>
  </si>
  <si>
    <t>Daniel Jones</t>
  </si>
  <si>
    <t>Kimani Vidal</t>
  </si>
  <si>
    <t>Jalen Nailor</t>
  </si>
  <si>
    <t>QB boost (picks) for 6-pt pass TD:</t>
  </si>
  <si>
    <t>League-Adj ADP</t>
  </si>
  <si>
    <t>2025 Slot</t>
  </si>
  <si>
    <t>2026 ADP (adj)</t>
  </si>
  <si>
    <t>ADP Round</t>
  </si>
  <si>
    <t>Keeper Cost (Rd)</t>
  </si>
  <si>
    <t>Value (Rd)</t>
  </si>
  <si>
    <t>Kept in 2025</t>
  </si>
  <si>
    <t>How acquired</t>
  </si>
  <si>
    <t>Aarons got a Gun (John)</t>
  </si>
  <si>
    <t>Waiver add</t>
  </si>
  <si>
    <t>Waiver claim</t>
  </si>
  <si>
    <t>Round 1</t>
  </si>
  <si>
    <t>*</t>
  </si>
  <si>
    <t>Drafted 2025</t>
  </si>
  <si>
    <t>Round 3</t>
  </si>
  <si>
    <t>Round 8</t>
  </si>
  <si>
    <t>Round 6</t>
  </si>
  <si>
    <t>Round 12</t>
  </si>
  <si>
    <t>Round 7</t>
  </si>
  <si>
    <t>Any given Sunday (Robert)</t>
  </si>
  <si>
    <t>Round 14</t>
  </si>
  <si>
    <t>Round 5</t>
  </si>
  <si>
    <t>Round 2</t>
  </si>
  <si>
    <t>Round 16</t>
  </si>
  <si>
    <t>Round 11</t>
  </si>
  <si>
    <t>Round 4</t>
  </si>
  <si>
    <t>Acquired by trade</t>
  </si>
  <si>
    <t>Colin for the win (Chris)</t>
  </si>
  <si>
    <t>Round 9</t>
  </si>
  <si>
    <t>Round 10</t>
  </si>
  <si>
    <t>Leeroy Judkins (JR)</t>
  </si>
  <si>
    <t>Maye I put it in your Boutte? (Nate)</t>
  </si>
  <si>
    <t>Prestige Worldwide (Ben)</t>
  </si>
  <si>
    <t>Round 15</t>
  </si>
  <si>
    <t>Saquon deez nutz (AJ)</t>
  </si>
  <si>
    <t>The V&amp;G Express (Kevin)</t>
  </si>
  <si>
    <t>The real sultan (Joe)</t>
  </si>
  <si>
    <t>Round 13</t>
  </si>
  <si>
    <t>jen's Legendary Team (Shawn)</t>
  </si>
  <si>
    <t>JEN'S LEGENDARY TEAM   ★   Shawn</t>
  </si>
  <si>
    <t>TEAM SUMMARY</t>
  </si>
  <si>
    <t>Players</t>
  </si>
  <si>
    <t>Kept in 2025 (*)</t>
  </si>
  <si>
    <t>Avg ADP (league-adj)</t>
  </si>
  <si>
    <t>Best value (Rd)</t>
  </si>
  <si>
    <t>Best value player</t>
  </si>
  <si>
    <t>Players with no ADP</t>
  </si>
  <si>
    <t>Waiver adds (8th rd)</t>
  </si>
  <si>
    <t>Team key (do not edit)</t>
  </si>
  <si>
    <t>Team name key</t>
  </si>
  <si>
    <t>Draft header key</t>
  </si>
  <si>
    <t>POSITION COUNTS</t>
  </si>
  <si>
    <t>K</t>
  </si>
  <si>
    <t>TOTAL</t>
  </si>
  <si>
    <t>KEEPER PICKER  -  choose up to 2 (rules applied automatically)</t>
  </si>
  <si>
    <t>Keeper (pick from list)</t>
  </si>
  <si>
    <t>ADP Rd</t>
  </si>
  <si>
    <t>Base Cost (Rd)</t>
  </si>
  <si>
    <t>Adj Cost (Rd)</t>
  </si>
  <si>
    <t>Round Given Up</t>
  </si>
  <si>
    <t>TOTALS</t>
  </si>
  <si>
    <t>RULES &amp; SOURCES APPLIED ON THIS TAB</t>
  </si>
  <si>
    <t>Keeper cost = the round the player was drafted in 2025. A player kept in 2025 costs one round earlier. A player claimed off waivers costs an 8th (unless you originally drafted him). A keeper acquired by trade costs his original 2025 round.</t>
  </si>
  <si>
    <t>Two keepers with the same cost: the higher-ranked player moves up one round, the other keeps that round. Two 1st rounders cost a 1st and a 2nd. "Higher-ranked" is resolved here by league-adjusted ADP (lower ADP = higher rank).</t>
  </si>
  <si>
    <t>Draft capital: 16 picks max, less picks traded away, plus picks acquired, less keepers selected. Minimum 14 picks if you keep two.</t>
  </si>
  <si>
    <t>THE REAL SULTAN   ★   Joe</t>
  </si>
  <si>
    <t>AARONS GOT A GUN   ★   John</t>
  </si>
  <si>
    <t>PRESTIGE WORLDWIDE   ★   Ben</t>
  </si>
  <si>
    <t>COLIN FOR THE WIN   ★   Chris</t>
  </si>
  <si>
    <t>THE V&amp;G EXPRESS   ★   Kevin</t>
  </si>
  <si>
    <t>MAYE I PUT IT IN YOUR BOUTTE?   ★   Nate</t>
  </si>
  <si>
    <t>LEEROY JUDKINS   ★   JR</t>
  </si>
  <si>
    <t>ANY GIVEN SUNDAY   ★   Robert</t>
  </si>
  <si>
    <t>SAQUON DEEZ NUTZ   ★   AJ</t>
  </si>
  <si>
    <t>FA</t>
  </si>
  <si>
    <t>Value (Rd) = ADP Round minus Keeper Cost Round; positive = bargain. ADP is the 2026 full-PPR board adjusted for this league's 6-point passing TD (QBs move up 12 picks), a static snapshot taken July 2026. The roster table, team summary and position counts above are hard-coded values - they no longer recalculate. The keeper picker below is live and applies the keeper rules automatically; the traded-pick lines read from the 'Draft Order-Traded Picks' tab, so they update if more picks are traded.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</si>
</sst>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0.0"/>
    <numFmt numFmtId="165" formatCode="\+0;\-0;0"/>
  </numFmts>
  <fonts count="33" x14ac:knownFonts="1">
    <font>
      <sz val="11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color theme="1"/>
      <name val="Calibri"/>
      <scheme val="minor"/>
    </font>
    <font>
      <sz val="11"/>
      <color theme="1"/>
      <name val="Calibri"/>
      <scheme val="minor"/>
    </font>
    <font>
      <i/>
      <sz val="11"/>
      <color theme="1"/>
      <name val="Calibri"/>
      <scheme val="minor"/>
    </font>
    <font>
      <b/>
      <sz val="11"/>
      <color rgb="FF000000"/>
      <name val="Calibri"/>
      <scheme val="minor"/>
    </font>
    <font>
      <sz val="11"/>
      <color rgb="FF000000"/>
      <name val="Calibri"/>
      <scheme val="minor"/>
    </font>
    <font>
      <b/>
      <sz val="11"/>
      <color rgb="FF1F3864"/>
      <name val="Calibri"/>
      <family val="2"/>
      <scheme val="minor"/>
    </font>
    <font>
      <b/>
      <sz val="16"/>
      <color rgb="FFFFFFFF"/>
      <name val="Calibri"/>
      <family val="2"/>
      <scheme val="minor"/>
    </font>
    <font>
      <b/>
      <sz val="15"/>
      <color rgb="FFFFFFFF"/>
      <name val="Calibri"/>
      <scheme val="minor"/>
    </font>
    <font>
      <b/>
      <sz val="11"/>
      <color rgb="FFFFFFFF"/>
      <name val="Calibri"/>
      <scheme val="minor"/>
    </font>
    <font>
      <b/>
      <sz val="11"/>
      <color rgb="FF1F3864"/>
      <name val="Calibri"/>
      <scheme val="minor"/>
    </font>
    <font>
      <b/>
      <sz val="11"/>
      <color rgb="FF262626"/>
      <name val="Calibri"/>
      <scheme val="minor"/>
    </font>
    <font>
      <sz val="11"/>
      <color rgb="FF262626"/>
      <name val="Calibri"/>
      <scheme val="minor"/>
    </font>
    <font>
      <b/>
      <sz val="14"/>
      <color rgb="FFFFFFFF"/>
      <name val="Calibri"/>
      <scheme val="minor"/>
    </font>
    <font>
      <b/>
      <sz val="11"/>
      <color rgb="FF404040"/>
      <name val="Calibri"/>
      <scheme val="minor"/>
    </font>
    <font>
      <b/>
      <sz val="9"/>
      <color rgb="FF262626"/>
      <name val="Calibri"/>
      <scheme val="minor"/>
    </font>
    <font>
      <b/>
      <sz val="14"/>
      <color rgb="FFFFFFFF"/>
      <name val="Calibri"/>
      <family val="2"/>
      <scheme val="minor"/>
    </font>
    <font>
      <b/>
      <i/>
      <sz val="11"/>
      <color rgb="FF1F3864"/>
      <name val="Calibri"/>
      <scheme val="minor"/>
    </font>
    <font>
      <b/>
      <sz val="10"/>
      <color theme="1"/>
      <name val="Calibri"/>
      <family val="2"/>
      <scheme val="minor"/>
    </font>
    <font>
      <b/>
      <sz val="12"/>
      <color rgb="FF1F3864"/>
      <name val="Calibri"/>
      <scheme val="minor"/>
    </font>
    <font>
      <sz val="12"/>
      <color rgb="FF262626"/>
      <name val="Calibri"/>
      <scheme val="minor"/>
    </font>
    <font>
      <b/>
      <sz val="11"/>
      <color rgb="FF0000FF"/>
      <name val="Calibri"/>
      <family val="2"/>
      <scheme val="minor"/>
    </font>
    <font>
      <sz val="8"/>
      <color rgb="FFA6A6A6"/>
      <name val="Calibri"/>
      <scheme val="minor"/>
    </font>
    <font>
      <b/>
      <sz val="11"/>
      <color rgb="FF7030A0"/>
      <name val="Calibri"/>
      <scheme val="minor"/>
    </font>
    <font>
      <b/>
      <sz val="11"/>
      <color rgb="FFB30000"/>
      <name val="Calibri"/>
      <scheme val="minor"/>
    </font>
    <font>
      <b/>
      <sz val="11"/>
      <color rgb="FF0B5394"/>
      <name val="Calibri"/>
      <scheme val="minor"/>
    </font>
    <font>
      <b/>
      <sz val="11"/>
      <color rgb="FF7F6000"/>
      <name val="Calibri"/>
      <scheme val="minor"/>
    </font>
    <font>
      <b/>
      <sz val="11"/>
      <color rgb="FF595959"/>
      <name val="Calibri"/>
      <scheme val="minor"/>
    </font>
    <font>
      <b/>
      <sz val="11"/>
      <color rgb="FF2E5218"/>
      <name val="Calibri"/>
      <scheme val="minor"/>
    </font>
    <font>
      <b/>
      <sz val="11"/>
      <color rgb="FF0000FF"/>
      <name val="Calibri"/>
      <scheme val="minor"/>
    </font>
    <font>
      <i/>
      <sz val="9"/>
      <color theme="1"/>
      <name val="Calibri"/>
      <scheme val="minor"/>
    </font>
  </fonts>
  <fills count="21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rgb="FFDDEBF7"/>
        <bgColor indexed="64"/>
      </patternFill>
    </fill>
    <fill>
      <patternFill patternType="solid">
        <fgColor rgb="FFFCE4D6"/>
        <bgColor indexed="64"/>
      </patternFill>
    </fill>
    <fill>
      <patternFill patternType="solid">
        <fgColor rgb="FFE2EFDA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BFBFBF"/>
        <bgColor indexed="64"/>
      </patternFill>
    </fill>
    <fill>
      <patternFill patternType="solid">
        <fgColor rgb="FFFFF2CC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DCE6F1"/>
        <bgColor indexed="64"/>
      </patternFill>
    </fill>
    <fill>
      <patternFill patternType="solid">
        <fgColor rgb="FFC6E0B4"/>
        <bgColor indexed="64"/>
      </patternFill>
    </fill>
    <fill>
      <patternFill patternType="solid">
        <fgColor rgb="FFFFE699"/>
        <bgColor indexed="64"/>
      </patternFill>
    </fill>
    <fill>
      <patternFill patternType="solid">
        <fgColor rgb="FFF7F7F7"/>
        <bgColor indexed="64"/>
      </patternFill>
    </fill>
    <fill>
      <patternFill patternType="solid">
        <fgColor rgb="FF4472C4"/>
        <bgColor indexed="64"/>
      </patternFill>
    </fill>
    <fill>
      <patternFill patternType="solid">
        <fgColor rgb="FFB4C6E7"/>
        <bgColor indexed="64"/>
      </patternFill>
    </fill>
    <fill>
      <patternFill patternType="solid">
        <fgColor theme="1" tint="0.499984740745262"/>
        <bgColor indexed="64"/>
      </patternFill>
    </fill>
    <fill>
      <patternFill patternType="solid">
        <fgColor rgb="FF1F4E79"/>
        <bgColor indexed="64"/>
      </patternFill>
    </fill>
    <fill>
      <patternFill patternType="solid">
        <fgColor rgb="FF2E75B6"/>
        <bgColor indexed="64"/>
      </patternFill>
    </fill>
    <fill>
      <patternFill patternType="solid">
        <fgColor rgb="FFF2F7FC"/>
        <bgColor indexed="64"/>
      </patternFill>
    </fill>
  </fills>
  <borders count="72">
    <border>
      <left/>
      <right/>
      <top/>
      <bottom/>
      <diagonal/>
    </border>
    <border>
      <left style="thin">
        <color indexed="64"/>
      </left>
      <right/>
      <top/>
      <bottom/>
      <diagonal/>
    </border>
    <border>
      <left style="thick">
        <color rgb="FFC00000"/>
      </left>
      <right style="thick">
        <color rgb="FFC00000"/>
      </right>
      <top style="thick">
        <color rgb="FFC00000"/>
      </top>
      <bottom style="thick">
        <color rgb="FFC00000"/>
      </bottom>
      <diagonal/>
    </border>
    <border>
      <left style="thick">
        <color rgb="FFC00000"/>
      </left>
      <right style="thick">
        <color rgb="FFC00000"/>
      </right>
      <top style="thick">
        <color rgb="FFC00000"/>
      </top>
      <bottom/>
      <diagonal/>
    </border>
    <border>
      <left/>
      <right style="thick">
        <color rgb="FFC00000"/>
      </right>
      <top style="thick">
        <color rgb="FFC00000"/>
      </top>
      <bottom style="thick">
        <color rgb="FFC00000"/>
      </bottom>
      <diagonal/>
    </border>
    <border>
      <left style="thin">
        <color rgb="FFE0E0E0"/>
      </left>
      <right style="thin">
        <color rgb="FFE0E0E0"/>
      </right>
      <top style="thin">
        <color rgb="FFE0E0E0"/>
      </top>
      <bottom style="thin">
        <color rgb="FFE0E0E0"/>
      </bottom>
      <diagonal/>
    </border>
    <border>
      <left style="thin">
        <color rgb="FFE0E0E0"/>
      </left>
      <right style="thin">
        <color rgb="FFE0E0E0"/>
      </right>
      <top style="thin">
        <color rgb="FFBFBFBF"/>
      </top>
      <bottom style="thin">
        <color rgb="FFE0E0E0"/>
      </bottom>
      <diagonal/>
    </border>
    <border>
      <left style="thin">
        <color rgb="FFE0E0E0"/>
      </left>
      <right style="thin">
        <color rgb="FFE0E0E0"/>
      </right>
      <top style="thin">
        <color rgb="FFE0E0E0"/>
      </top>
      <bottom style="thin">
        <color rgb="FFBFBFBF"/>
      </bottom>
      <diagonal/>
    </border>
    <border>
      <left style="thin">
        <color rgb="FFBFBFBF"/>
      </left>
      <right style="thin">
        <color rgb="FFE0E0E0"/>
      </right>
      <top style="thin">
        <color rgb="FFBFBFBF"/>
      </top>
      <bottom style="thin">
        <color rgb="FFE0E0E0"/>
      </bottom>
      <diagonal/>
    </border>
    <border>
      <left style="thin">
        <color rgb="FFBFBFBF"/>
      </left>
      <right style="thin">
        <color rgb="FFE0E0E0"/>
      </right>
      <top style="thin">
        <color rgb="FFE0E0E0"/>
      </top>
      <bottom style="thin">
        <color rgb="FFE0E0E0"/>
      </bottom>
      <diagonal/>
    </border>
    <border>
      <left style="thin">
        <color rgb="FFBFBFBF"/>
      </left>
      <right style="thin">
        <color rgb="FFE0E0E0"/>
      </right>
      <top style="thin">
        <color rgb="FFE0E0E0"/>
      </top>
      <bottom style="thin">
        <color rgb="FFBFBFBF"/>
      </bottom>
      <diagonal/>
    </border>
    <border>
      <left style="thin">
        <color rgb="FFE0E0E0"/>
      </left>
      <right style="thin">
        <color rgb="FFBFBFBF"/>
      </right>
      <top style="thin">
        <color rgb="FFBFBFBF"/>
      </top>
      <bottom style="thin">
        <color rgb="FFE0E0E0"/>
      </bottom>
      <diagonal/>
    </border>
    <border>
      <left style="thin">
        <color rgb="FFE0E0E0"/>
      </left>
      <right style="thin">
        <color rgb="FFBFBFBF"/>
      </right>
      <top style="thin">
        <color rgb="FFE0E0E0"/>
      </top>
      <bottom style="thin">
        <color rgb="FFE0E0E0"/>
      </bottom>
      <diagonal/>
    </border>
    <border>
      <left style="thin">
        <color rgb="FFE0E0E0"/>
      </left>
      <right style="thin">
        <color rgb="FFBFBFBF"/>
      </right>
      <top style="thin">
        <color rgb="FFE0E0E0"/>
      </top>
      <bottom style="thin">
        <color rgb="FFBFBFBF"/>
      </bottom>
      <diagonal/>
    </border>
    <border>
      <left style="thin">
        <color rgb="FFBFBFBF"/>
      </left>
      <right style="thin">
        <color rgb="FFE0E0E0"/>
      </right>
      <top style="thin">
        <color rgb="FFBFBFBF"/>
      </top>
      <bottom/>
      <diagonal/>
    </border>
    <border>
      <left style="thin">
        <color rgb="FFE0E0E0"/>
      </left>
      <right style="thin">
        <color rgb="FFE0E0E0"/>
      </right>
      <top style="thin">
        <color rgb="FFBFBFBF"/>
      </top>
      <bottom/>
      <diagonal/>
    </border>
    <border>
      <left style="thin">
        <color rgb="FFE0E0E0"/>
      </left>
      <right style="thin">
        <color rgb="FFBFBFBF"/>
      </right>
      <top style="thin">
        <color rgb="FFBFBFBF"/>
      </top>
      <bottom/>
      <diagonal/>
    </border>
    <border>
      <left style="thin">
        <color rgb="FFBFBFBF"/>
      </left>
      <right style="thin">
        <color rgb="FFE0E0E0"/>
      </right>
      <top/>
      <bottom style="thin">
        <color rgb="FFE0E0E0"/>
      </bottom>
      <diagonal/>
    </border>
    <border>
      <left style="thin">
        <color rgb="FFE0E0E0"/>
      </left>
      <right style="thin">
        <color rgb="FFE0E0E0"/>
      </right>
      <top/>
      <bottom style="thin">
        <color rgb="FFE0E0E0"/>
      </bottom>
      <diagonal/>
    </border>
    <border>
      <left style="thin">
        <color rgb="FFE0E0E0"/>
      </left>
      <right style="thin">
        <color rgb="FFBFBFBF"/>
      </right>
      <top/>
      <bottom style="thin">
        <color rgb="FFE0E0E0"/>
      </bottom>
      <diagonal/>
    </border>
    <border>
      <left style="thin">
        <color rgb="FFBFBFBF"/>
      </left>
      <right/>
      <top style="thin">
        <color rgb="FFE0E0E0"/>
      </top>
      <bottom style="thin">
        <color rgb="FFE0E0E0"/>
      </bottom>
      <diagonal/>
    </border>
    <border>
      <left style="thin">
        <color rgb="FFE0E0E0"/>
      </left>
      <right/>
      <top style="thin">
        <color rgb="FFE0E0E0"/>
      </top>
      <bottom style="thin">
        <color rgb="FFE0E0E0"/>
      </bottom>
      <diagonal/>
    </border>
    <border>
      <left/>
      <right style="thin">
        <color rgb="FFE0E0E0"/>
      </right>
      <top style="thin">
        <color rgb="FFE0E0E0"/>
      </top>
      <bottom style="thin">
        <color rgb="FFE0E0E0"/>
      </bottom>
      <diagonal/>
    </border>
    <border>
      <left style="thin">
        <color rgb="FFE0E0E0"/>
      </left>
      <right style="thin">
        <color rgb="FFE0E0E0"/>
      </right>
      <top style="thin">
        <color rgb="FFE0E0E0"/>
      </top>
      <bottom/>
      <diagonal/>
    </border>
    <border>
      <left style="thin">
        <color rgb="FFBFBFBF"/>
      </left>
      <right style="thin">
        <color rgb="FFE0E0E0"/>
      </right>
      <top style="thin">
        <color rgb="FFE0E0E0"/>
      </top>
      <bottom style="medium">
        <color rgb="FF8EA9DB"/>
      </bottom>
      <diagonal/>
    </border>
    <border>
      <left style="thin">
        <color rgb="FFE0E0E0"/>
      </left>
      <right style="thin">
        <color rgb="FFE0E0E0"/>
      </right>
      <top style="thin">
        <color rgb="FFE0E0E0"/>
      </top>
      <bottom style="medium">
        <color rgb="FF8EA9DB"/>
      </bottom>
      <diagonal/>
    </border>
    <border>
      <left style="thin">
        <color rgb="FFE0E0E0"/>
      </left>
      <right style="thin">
        <color rgb="FFBFBFBF"/>
      </right>
      <top style="thin">
        <color rgb="FFE0E0E0"/>
      </top>
      <bottom style="medium">
        <color rgb="FF8EA9DB"/>
      </bottom>
      <diagonal/>
    </border>
    <border>
      <left style="thin">
        <color rgb="FFE0E0E0"/>
      </left>
      <right style="thin">
        <color rgb="FFE0E0E0"/>
      </right>
      <top/>
      <bottom/>
      <diagonal/>
    </border>
    <border>
      <left/>
      <right style="thin">
        <color rgb="FFBFBFBF"/>
      </right>
      <top style="thin">
        <color rgb="FFE0E0E0"/>
      </top>
      <bottom style="thin">
        <color rgb="FFE0E0E0"/>
      </bottom>
      <diagonal/>
    </border>
    <border>
      <left style="thin">
        <color rgb="FFBFBFBF"/>
      </left>
      <right style="thin">
        <color rgb="FFE0E0E0"/>
      </right>
      <top style="thin">
        <color rgb="FFE0E0E0"/>
      </top>
      <bottom/>
      <diagonal/>
    </border>
    <border>
      <left style="thin">
        <color rgb="FFE0E0E0"/>
      </left>
      <right style="thin">
        <color rgb="FFBFBFBF"/>
      </right>
      <top style="thin">
        <color rgb="FFE0E0E0"/>
      </top>
      <bottom/>
      <diagonal/>
    </border>
    <border>
      <left style="thin">
        <color rgb="FFBFBFBF"/>
      </left>
      <right style="thin">
        <color rgb="FFE0E0E0"/>
      </right>
      <top style="medium">
        <color rgb="FF808080"/>
      </top>
      <bottom style="thin">
        <color rgb="FFE0E0E0"/>
      </bottom>
      <diagonal/>
    </border>
    <border>
      <left style="thin">
        <color rgb="FFE0E0E0"/>
      </left>
      <right style="thin">
        <color rgb="FFE0E0E0"/>
      </right>
      <top style="medium">
        <color rgb="FF808080"/>
      </top>
      <bottom style="thin">
        <color rgb="FFE0E0E0"/>
      </bottom>
      <diagonal/>
    </border>
    <border>
      <left style="thin">
        <color rgb="FFE0E0E0"/>
      </left>
      <right style="thin">
        <color rgb="FFBFBFBF"/>
      </right>
      <top style="medium">
        <color rgb="FF808080"/>
      </top>
      <bottom style="thin">
        <color rgb="FFE0E0E0"/>
      </bottom>
      <diagonal/>
    </border>
    <border>
      <left style="thin">
        <color rgb="FFBFBFBF"/>
      </left>
      <right style="thin">
        <color rgb="FFE0E0E0"/>
      </right>
      <top/>
      <bottom/>
      <diagonal/>
    </border>
    <border>
      <left style="thin">
        <color rgb="FFE0E0E0"/>
      </left>
      <right style="thin">
        <color rgb="FFBFBFBF"/>
      </right>
      <top/>
      <bottom/>
      <diagonal/>
    </border>
    <border>
      <left style="thin">
        <color rgb="FFBFBFBF"/>
      </left>
      <right style="thin">
        <color rgb="FFE0E0E0"/>
      </right>
      <top style="mediumDashed">
        <color rgb="FF808080"/>
      </top>
      <bottom style="thin">
        <color rgb="FFE0E0E0"/>
      </bottom>
      <diagonal/>
    </border>
    <border>
      <left style="thin">
        <color rgb="FFE0E0E0"/>
      </left>
      <right style="thin">
        <color rgb="FFE0E0E0"/>
      </right>
      <top style="mediumDashed">
        <color rgb="FF808080"/>
      </top>
      <bottom style="thin">
        <color rgb="FFE0E0E0"/>
      </bottom>
      <diagonal/>
    </border>
    <border>
      <left style="thin">
        <color rgb="FFE0E0E0"/>
      </left>
      <right style="thin">
        <color rgb="FFBFBFBF"/>
      </right>
      <top style="mediumDashed">
        <color rgb="FF808080"/>
      </top>
      <bottom style="thin">
        <color rgb="FFE0E0E0"/>
      </bottom>
      <diagonal/>
    </border>
    <border>
      <left style="thin">
        <color rgb="FFBFBFBF"/>
      </left>
      <right style="thin">
        <color rgb="FFE0E0E0"/>
      </right>
      <top style="mediumDashed">
        <color rgb="FF808080"/>
      </top>
      <bottom/>
      <diagonal/>
    </border>
    <border>
      <left style="thin">
        <color rgb="FFE0E0E0"/>
      </left>
      <right style="thin">
        <color rgb="FFE0E0E0"/>
      </right>
      <top style="mediumDashed">
        <color rgb="FF808080"/>
      </top>
      <bottom/>
      <diagonal/>
    </border>
    <border>
      <left style="thin">
        <color rgb="FFE0E0E0"/>
      </left>
      <right style="thin">
        <color rgb="FFBFBFBF"/>
      </right>
      <top style="mediumDashed">
        <color rgb="FF808080"/>
      </top>
      <bottom/>
      <diagonal/>
    </border>
    <border>
      <left style="thin">
        <color rgb="FFBFBFBF"/>
      </left>
      <right style="thin">
        <color rgb="FFE0E0E0"/>
      </right>
      <top style="thin">
        <color rgb="FFE0E0E0"/>
      </top>
      <bottom style="medium">
        <color rgb="FF808080"/>
      </bottom>
      <diagonal/>
    </border>
    <border>
      <left style="thin">
        <color rgb="FFE0E0E0"/>
      </left>
      <right style="thin">
        <color rgb="FFE0E0E0"/>
      </right>
      <top style="thin">
        <color rgb="FFE0E0E0"/>
      </top>
      <bottom style="medium">
        <color rgb="FF808080"/>
      </bottom>
      <diagonal/>
    </border>
    <border>
      <left style="thin">
        <color rgb="FFE0E0E0"/>
      </left>
      <right style="thin">
        <color rgb="FFBFBFBF"/>
      </right>
      <top style="thin">
        <color rgb="FFE0E0E0"/>
      </top>
      <bottom style="medium">
        <color rgb="FF808080"/>
      </bottom>
      <diagonal/>
    </border>
    <border>
      <left style="thin">
        <color rgb="FFE0E0E0"/>
      </left>
      <right/>
      <top/>
      <bottom/>
      <diagonal/>
    </border>
    <border>
      <left/>
      <right style="thin">
        <color rgb="FFBDD7EE"/>
      </right>
      <top/>
      <bottom style="thin">
        <color rgb="FFDCE6F1"/>
      </bottom>
      <diagonal/>
    </border>
    <border>
      <left style="thin">
        <color rgb="FFBDD7EE"/>
      </left>
      <right style="thin">
        <color rgb="FFBDD7EE"/>
      </right>
      <top/>
      <bottom style="thin">
        <color rgb="FFDCE6F1"/>
      </bottom>
      <diagonal/>
    </border>
    <border>
      <left/>
      <right style="thin">
        <color rgb="FFBDD7EE"/>
      </right>
      <top style="thin">
        <color rgb="FFDCE6F1"/>
      </top>
      <bottom style="thin">
        <color rgb="FFDCE6F1"/>
      </bottom>
      <diagonal/>
    </border>
    <border>
      <left style="thin">
        <color rgb="FFBDD7EE"/>
      </left>
      <right style="thin">
        <color rgb="FFBDD7EE"/>
      </right>
      <top style="thin">
        <color rgb="FFDCE6F1"/>
      </top>
      <bottom style="thin">
        <color rgb="FFDCE6F1"/>
      </bottom>
      <diagonal/>
    </border>
    <border>
      <left style="thin">
        <color rgb="FFBDD7EE"/>
      </left>
      <right style="thin">
        <color rgb="FFBDD7EE"/>
      </right>
      <top style="thin">
        <color rgb="FFDCE6F1"/>
      </top>
      <bottom/>
      <diagonal/>
    </border>
    <border>
      <left/>
      <right/>
      <top style="medium">
        <color rgb="FF1F4E79"/>
      </top>
      <bottom/>
      <diagonal/>
    </border>
    <border>
      <left style="thin">
        <color rgb="FFBDD7EE"/>
      </left>
      <right style="thin">
        <color rgb="FFBDD7EE"/>
      </right>
      <top style="thin">
        <color rgb="FFDCE6F1"/>
      </top>
      <bottom style="medium">
        <color rgb="FF1F4E79"/>
      </bottom>
      <diagonal/>
    </border>
    <border>
      <left style="medium">
        <color rgb="FF1F4E79"/>
      </left>
      <right/>
      <top style="medium">
        <color rgb="FF1F4E79"/>
      </top>
      <bottom/>
      <diagonal/>
    </border>
    <border>
      <left style="medium">
        <color rgb="FF1F4E79"/>
      </left>
      <right style="thin">
        <color rgb="FFBDD7EE"/>
      </right>
      <top/>
      <bottom style="thin">
        <color rgb="FFDCE6F1"/>
      </bottom>
      <diagonal/>
    </border>
    <border>
      <left style="medium">
        <color rgb="FF1F4E79"/>
      </left>
      <right style="thin">
        <color rgb="FFBDD7EE"/>
      </right>
      <top style="thin">
        <color rgb="FFDCE6F1"/>
      </top>
      <bottom style="thin">
        <color rgb="FFDCE6F1"/>
      </bottom>
      <diagonal/>
    </border>
    <border>
      <left style="medium">
        <color rgb="FF1F4E79"/>
      </left>
      <right style="thin">
        <color rgb="FFBDD7EE"/>
      </right>
      <top style="thin">
        <color rgb="FFDCE6F1"/>
      </top>
      <bottom style="medium">
        <color rgb="FF1F4E79"/>
      </bottom>
      <diagonal/>
    </border>
    <border>
      <left/>
      <right style="medium">
        <color rgb="FF1F4E79"/>
      </right>
      <top style="medium">
        <color rgb="FF1F4E79"/>
      </top>
      <bottom/>
      <diagonal/>
    </border>
    <border>
      <left style="thin">
        <color rgb="FFBDD7EE"/>
      </left>
      <right style="medium">
        <color rgb="FF1F4E79"/>
      </right>
      <top/>
      <bottom style="thin">
        <color rgb="FFDCE6F1"/>
      </bottom>
      <diagonal/>
    </border>
    <border>
      <left style="thin">
        <color rgb="FFBDD7EE"/>
      </left>
      <right style="medium">
        <color rgb="FF1F4E79"/>
      </right>
      <top style="thin">
        <color rgb="FFDCE6F1"/>
      </top>
      <bottom style="thin">
        <color rgb="FFDCE6F1"/>
      </bottom>
      <diagonal/>
    </border>
    <border>
      <left style="thin">
        <color rgb="FFBDD7EE"/>
      </left>
      <right style="medium">
        <color rgb="FF1F4E79"/>
      </right>
      <top style="thin">
        <color rgb="FFDCE6F1"/>
      </top>
      <bottom style="medium">
        <color rgb="FF1F4E79"/>
      </bottom>
      <diagonal/>
    </border>
    <border>
      <left/>
      <right/>
      <top/>
      <bottom style="medium">
        <color rgb="FF1F4E79"/>
      </bottom>
      <diagonal/>
    </border>
    <border>
      <left style="medium">
        <color rgb="FF1F4E79"/>
      </left>
      <right/>
      <top/>
      <bottom/>
      <diagonal/>
    </border>
    <border>
      <left style="medium">
        <color rgb="FF1F4E79"/>
      </left>
      <right/>
      <top/>
      <bottom style="medium">
        <color rgb="FF1F4E79"/>
      </bottom>
      <diagonal/>
    </border>
    <border>
      <left/>
      <right style="medium">
        <color rgb="FF1F4E79"/>
      </right>
      <top/>
      <bottom/>
      <diagonal/>
    </border>
    <border>
      <left/>
      <right style="medium">
        <color rgb="FF1F4E79"/>
      </right>
      <top/>
      <bottom style="medium">
        <color rgb="FF1F4E79"/>
      </bottom>
      <diagonal/>
    </border>
    <border>
      <left style="medium">
        <color rgb="FF1F4E79"/>
      </left>
      <right style="thin">
        <color rgb="FFBDD7EE"/>
      </right>
      <top style="thin">
        <color rgb="FFDCE6F1"/>
      </top>
      <bottom/>
      <diagonal/>
    </border>
    <border>
      <left style="medium">
        <color rgb="FF1F4E79"/>
      </left>
      <right/>
      <top/>
      <bottom style="thin">
        <color rgb="FFDCE6F1"/>
      </bottom>
      <diagonal/>
    </border>
    <border>
      <left style="medium">
        <color rgb="FF1F4E79"/>
      </left>
      <right/>
      <top style="thin">
        <color rgb="FFDCE6F1"/>
      </top>
      <bottom style="thin">
        <color rgb="FFDCE6F1"/>
      </bottom>
      <diagonal/>
    </border>
    <border>
      <left style="thin">
        <color rgb="FFBDD7EE"/>
      </left>
      <right style="thin">
        <color rgb="FFBDD7EE"/>
      </right>
      <top/>
      <bottom style="medium">
        <color rgb="FF1F4E79"/>
      </bottom>
      <diagonal/>
    </border>
    <border>
      <left style="thin">
        <color rgb="FFBF8F00"/>
      </left>
      <right style="thin">
        <color rgb="FFBF8F00"/>
      </right>
      <top style="thin">
        <color rgb="FFBF8F00"/>
      </top>
      <bottom style="thin">
        <color rgb="FFDCE6F1"/>
      </bottom>
      <diagonal/>
    </border>
    <border>
      <left style="thin">
        <color rgb="FFBF8F00"/>
      </left>
      <right style="thin">
        <color rgb="FFBF8F00"/>
      </right>
      <top style="thin">
        <color rgb="FFDCE6F1"/>
      </top>
      <bottom style="thin">
        <color rgb="FFBF8F00"/>
      </bottom>
      <diagonal/>
    </border>
  </borders>
  <cellStyleXfs count="1">
    <xf numFmtId="0" fontId="0" fillId="0" borderId="0"/>
  </cellStyleXfs>
  <cellXfs count="258">
    <xf numFmtId="0" fontId="0" fillId="0" borderId="0" xfId="0"/>
    <xf numFmtId="0" fontId="0" fillId="0" borderId="0" xfId="0" applyAlignment="1">
      <alignment horizontal="center"/>
    </xf>
    <xf numFmtId="14" fontId="0" fillId="3" borderId="0" xfId="0" applyNumberFormat="1" applyFill="1"/>
    <xf numFmtId="0" fontId="0" fillId="3" borderId="0" xfId="0" applyFill="1"/>
    <xf numFmtId="0" fontId="0" fillId="3" borderId="1" xfId="0" applyFill="1" applyBorder="1"/>
    <xf numFmtId="0" fontId="0" fillId="3" borderId="0" xfId="0" applyFill="1" applyAlignment="1">
      <alignment horizontal="left"/>
    </xf>
    <xf numFmtId="0" fontId="4" fillId="0" borderId="0" xfId="0" applyFont="1"/>
    <xf numFmtId="0" fontId="14" fillId="0" borderId="0" xfId="0" applyFont="1" applyAlignment="1">
      <alignment vertical="center"/>
    </xf>
    <xf numFmtId="0" fontId="14" fillId="8" borderId="0" xfId="0" applyFont="1" applyFill="1" applyAlignment="1">
      <alignment vertical="center"/>
    </xf>
    <xf numFmtId="0" fontId="14" fillId="14" borderId="5" xfId="0" applyFont="1" applyFill="1" applyBorder="1" applyAlignment="1">
      <alignment horizontal="center" vertical="center"/>
    </xf>
    <xf numFmtId="0" fontId="14" fillId="12" borderId="5" xfId="0" applyFont="1" applyFill="1" applyBorder="1" applyAlignment="1">
      <alignment horizontal="center" vertical="center"/>
    </xf>
    <xf numFmtId="0" fontId="14" fillId="7" borderId="5" xfId="0" applyFont="1" applyFill="1" applyBorder="1" applyAlignment="1">
      <alignment horizontal="center" vertical="center"/>
    </xf>
    <xf numFmtId="0" fontId="14" fillId="7" borderId="7" xfId="0" applyFont="1" applyFill="1" applyBorder="1" applyAlignment="1">
      <alignment horizontal="center" vertical="center"/>
    </xf>
    <xf numFmtId="0" fontId="16" fillId="10" borderId="9" xfId="0" applyFont="1" applyFill="1" applyBorder="1" applyAlignment="1">
      <alignment horizontal="center" vertical="center"/>
    </xf>
    <xf numFmtId="0" fontId="16" fillId="10" borderId="9" xfId="0" applyFont="1" applyFill="1" applyBorder="1" applyAlignment="1">
      <alignment horizontal="center" vertical="center"/>
    </xf>
    <xf numFmtId="0" fontId="16" fillId="10" borderId="10" xfId="0" applyFont="1" applyFill="1" applyBorder="1" applyAlignment="1">
      <alignment horizontal="center" vertical="center"/>
    </xf>
    <xf numFmtId="0" fontId="14" fillId="12" borderId="12" xfId="0" applyFont="1" applyFill="1" applyBorder="1" applyAlignment="1">
      <alignment horizontal="center" vertical="center"/>
    </xf>
    <xf numFmtId="0" fontId="14" fillId="14" borderId="12" xfId="0" applyFont="1" applyFill="1" applyBorder="1" applyAlignment="1">
      <alignment horizontal="center" vertical="center"/>
    </xf>
    <xf numFmtId="0" fontId="14" fillId="7" borderId="12" xfId="0" applyFont="1" applyFill="1" applyBorder="1" applyAlignment="1">
      <alignment horizontal="center" vertical="center"/>
    </xf>
    <xf numFmtId="0" fontId="14" fillId="7" borderId="13" xfId="0" applyFont="1" applyFill="1" applyBorder="1" applyAlignment="1">
      <alignment horizontal="center" vertical="center"/>
    </xf>
    <xf numFmtId="0" fontId="14" fillId="14" borderId="18" xfId="0" applyFont="1" applyFill="1" applyBorder="1" applyAlignment="1">
      <alignment horizontal="center" vertical="center"/>
    </xf>
    <xf numFmtId="0" fontId="14" fillId="12" borderId="18" xfId="0" applyFont="1" applyFill="1" applyBorder="1" applyAlignment="1">
      <alignment horizontal="center" vertical="center"/>
    </xf>
    <xf numFmtId="0" fontId="14" fillId="12" borderId="19" xfId="0" applyFont="1" applyFill="1" applyBorder="1" applyAlignment="1">
      <alignment horizontal="center" vertical="center"/>
    </xf>
    <xf numFmtId="0" fontId="16" fillId="10" borderId="20" xfId="0" applyFont="1" applyFill="1" applyBorder="1" applyAlignment="1">
      <alignment horizontal="center" vertical="center"/>
    </xf>
    <xf numFmtId="0" fontId="16" fillId="10" borderId="10" xfId="0" applyFont="1" applyFill="1" applyBorder="1" applyAlignment="1">
      <alignment horizontal="center" vertical="center"/>
    </xf>
    <xf numFmtId="0" fontId="16" fillId="10" borderId="17" xfId="0" applyFont="1" applyFill="1" applyBorder="1" applyAlignment="1">
      <alignment horizontal="center" vertical="center"/>
    </xf>
    <xf numFmtId="0" fontId="14" fillId="14" borderId="18" xfId="0" applyFont="1" applyFill="1" applyBorder="1" applyAlignment="1">
      <alignment horizontal="center" vertical="center" wrapText="1"/>
    </xf>
    <xf numFmtId="14" fontId="17" fillId="12" borderId="14" xfId="0" applyNumberFormat="1" applyFont="1" applyFill="1" applyBorder="1" applyAlignment="1">
      <alignment horizontal="center" vertical="center" wrapText="1"/>
    </xf>
    <xf numFmtId="0" fontId="4" fillId="0" borderId="5" xfId="0" applyFont="1" applyBorder="1" applyAlignment="1">
      <alignment vertical="top" wrapText="1"/>
    </xf>
    <xf numFmtId="0" fontId="5" fillId="0" borderId="7" xfId="0" applyFont="1" applyBorder="1" applyAlignment="1">
      <alignment vertical="top" wrapText="1"/>
    </xf>
    <xf numFmtId="0" fontId="4" fillId="0" borderId="9" xfId="0" applyFont="1" applyBorder="1" applyAlignment="1">
      <alignment horizontal="center" vertical="top" wrapText="1"/>
    </xf>
    <xf numFmtId="0" fontId="4" fillId="0" borderId="10" xfId="0" applyFont="1" applyBorder="1" applyAlignment="1">
      <alignment horizontal="center" vertical="top" wrapText="1"/>
    </xf>
    <xf numFmtId="0" fontId="5" fillId="0" borderId="12" xfId="0" applyFont="1" applyBorder="1" applyAlignment="1">
      <alignment vertical="top" wrapText="1"/>
    </xf>
    <xf numFmtId="0" fontId="5" fillId="0" borderId="13" xfId="0" applyFont="1" applyBorder="1" applyAlignment="1">
      <alignment vertical="top" wrapText="1"/>
    </xf>
    <xf numFmtId="49" fontId="7" fillId="0" borderId="5" xfId="0" applyNumberFormat="1" applyFont="1" applyBorder="1" applyAlignment="1">
      <alignment horizontal="left" vertical="center" wrapText="1"/>
    </xf>
    <xf numFmtId="0" fontId="7" fillId="0" borderId="5" xfId="0" applyFont="1" applyBorder="1" applyAlignment="1">
      <alignment vertical="center" wrapText="1"/>
    </xf>
    <xf numFmtId="0" fontId="7" fillId="0" borderId="5" xfId="0" applyFont="1" applyBorder="1" applyAlignment="1">
      <alignment horizontal="center" vertical="center" wrapText="1"/>
    </xf>
    <xf numFmtId="0" fontId="7" fillId="9" borderId="5" xfId="0" applyFont="1" applyFill="1" applyBorder="1" applyAlignment="1">
      <alignment horizontal="center" vertical="center" wrapText="1"/>
    </xf>
    <xf numFmtId="0" fontId="0" fillId="0" borderId="5" xfId="0" applyBorder="1"/>
    <xf numFmtId="0" fontId="0" fillId="0" borderId="7" xfId="0" applyBorder="1"/>
    <xf numFmtId="49" fontId="6" fillId="0" borderId="9" xfId="0" applyNumberFormat="1" applyFont="1" applyBorder="1" applyAlignment="1">
      <alignment horizontal="left" vertical="center" wrapText="1"/>
    </xf>
    <xf numFmtId="0" fontId="7" fillId="0" borderId="9" xfId="0" applyFont="1" applyBorder="1" applyAlignment="1">
      <alignment vertical="center" wrapText="1"/>
    </xf>
    <xf numFmtId="0" fontId="7" fillId="9" borderId="9" xfId="0" applyFont="1" applyFill="1" applyBorder="1" applyAlignment="1">
      <alignment vertical="center" wrapText="1"/>
    </xf>
    <xf numFmtId="0" fontId="0" fillId="0" borderId="9" xfId="0" applyBorder="1"/>
    <xf numFmtId="0" fontId="0" fillId="0" borderId="10" xfId="0" applyBorder="1"/>
    <xf numFmtId="49" fontId="7" fillId="0" borderId="12" xfId="0" applyNumberFormat="1" applyFont="1" applyBorder="1" applyAlignment="1">
      <alignment horizontal="left" vertical="center" wrapText="1"/>
    </xf>
    <xf numFmtId="0" fontId="7" fillId="0" borderId="12" xfId="0" applyFont="1" applyBorder="1" applyAlignment="1">
      <alignment vertical="center" wrapText="1"/>
    </xf>
    <xf numFmtId="0" fontId="7" fillId="0" borderId="12" xfId="0" applyFont="1" applyBorder="1" applyAlignment="1">
      <alignment horizontal="center" vertical="center" wrapText="1"/>
    </xf>
    <xf numFmtId="0" fontId="7" fillId="9" borderId="12" xfId="0" applyFont="1" applyFill="1" applyBorder="1" applyAlignment="1">
      <alignment horizontal="center" vertical="center" wrapText="1"/>
    </xf>
    <xf numFmtId="0" fontId="0" fillId="0" borderId="12" xfId="0" applyBorder="1"/>
    <xf numFmtId="0" fontId="0" fillId="0" borderId="13" xfId="0" applyBorder="1"/>
    <xf numFmtId="0" fontId="7" fillId="13" borderId="9" xfId="0" applyFont="1" applyFill="1" applyBorder="1" applyAlignment="1">
      <alignment vertical="center" wrapText="1"/>
    </xf>
    <xf numFmtId="0" fontId="7" fillId="13" borderId="5" xfId="0" applyFont="1" applyFill="1" applyBorder="1" applyAlignment="1">
      <alignment horizontal="center" vertical="center" wrapText="1"/>
    </xf>
    <xf numFmtId="0" fontId="7" fillId="13" borderId="12" xfId="0" applyFont="1" applyFill="1" applyBorder="1" applyAlignment="1">
      <alignment horizontal="center" vertical="center" wrapText="1"/>
    </xf>
    <xf numFmtId="0" fontId="15" fillId="15" borderId="15" xfId="0" applyFont="1" applyFill="1" applyBorder="1" applyAlignment="1">
      <alignment horizontal="center" vertical="center"/>
    </xf>
    <xf numFmtId="0" fontId="15" fillId="15" borderId="16" xfId="0" applyFont="1" applyFill="1" applyBorder="1" applyAlignment="1">
      <alignment horizontal="center" vertical="center"/>
    </xf>
    <xf numFmtId="0" fontId="12" fillId="16" borderId="25" xfId="0" applyFont="1" applyFill="1" applyBorder="1" applyAlignment="1">
      <alignment horizontal="center" vertical="center" wrapText="1"/>
    </xf>
    <xf numFmtId="0" fontId="12" fillId="16" borderId="26" xfId="0" applyFont="1" applyFill="1" applyBorder="1" applyAlignment="1">
      <alignment horizontal="center" vertical="center" wrapText="1"/>
    </xf>
    <xf numFmtId="0" fontId="12" fillId="16" borderId="12" xfId="0" applyFont="1" applyFill="1" applyBorder="1" applyAlignment="1">
      <alignment horizontal="center" vertical="center" wrapText="1"/>
    </xf>
    <xf numFmtId="14" fontId="12" fillId="16" borderId="24" xfId="0" applyNumberFormat="1" applyFont="1" applyFill="1" applyBorder="1" applyAlignment="1">
      <alignment horizontal="center" vertical="center"/>
    </xf>
    <xf numFmtId="0" fontId="18" fillId="15" borderId="8" xfId="0" applyFont="1" applyFill="1" applyBorder="1" applyAlignment="1">
      <alignment horizontal="center" vertical="center"/>
    </xf>
    <xf numFmtId="0" fontId="18" fillId="15" borderId="6" xfId="0" applyFont="1" applyFill="1" applyBorder="1" applyAlignment="1">
      <alignment horizontal="center" vertical="center"/>
    </xf>
    <xf numFmtId="0" fontId="18" fillId="15" borderId="11" xfId="0" applyFont="1" applyFill="1" applyBorder="1" applyAlignment="1">
      <alignment horizontal="center" vertical="center"/>
    </xf>
    <xf numFmtId="0" fontId="12" fillId="16" borderId="9" xfId="0" applyFont="1" applyFill="1" applyBorder="1" applyAlignment="1">
      <alignment horizontal="center" vertical="top" wrapText="1"/>
    </xf>
    <xf numFmtId="0" fontId="12" fillId="16" borderId="5" xfId="0" applyFont="1" applyFill="1" applyBorder="1" applyAlignment="1">
      <alignment horizontal="center" vertical="top" wrapText="1"/>
    </xf>
    <xf numFmtId="0" fontId="12" fillId="16" borderId="12" xfId="0" applyFont="1" applyFill="1" applyBorder="1" applyAlignment="1">
      <alignment horizontal="center" vertical="top" wrapText="1"/>
    </xf>
    <xf numFmtId="0" fontId="12" fillId="11" borderId="9" xfId="0" applyFont="1" applyFill="1" applyBorder="1" applyAlignment="1">
      <alignment horizontal="center" vertical="top" wrapText="1"/>
    </xf>
    <xf numFmtId="0" fontId="12" fillId="11" borderId="5" xfId="0" applyFont="1" applyFill="1" applyBorder="1" applyAlignment="1">
      <alignment horizontal="left" vertical="top" wrapText="1"/>
    </xf>
    <xf numFmtId="0" fontId="19" fillId="11" borderId="12" xfId="0" applyFont="1" applyFill="1" applyBorder="1" applyAlignment="1">
      <alignment horizontal="left" vertical="top" wrapText="1"/>
    </xf>
    <xf numFmtId="0" fontId="15" fillId="15" borderId="8" xfId="0" applyFont="1" applyFill="1" applyBorder="1" applyAlignment="1">
      <alignment horizontal="center" vertical="center" wrapText="1"/>
    </xf>
    <xf numFmtId="0" fontId="15" fillId="15" borderId="6" xfId="0" applyFont="1" applyFill="1" applyBorder="1" applyAlignment="1">
      <alignment horizontal="center" vertical="center" wrapText="1"/>
    </xf>
    <xf numFmtId="0" fontId="15" fillId="15" borderId="11" xfId="0" applyFont="1" applyFill="1" applyBorder="1" applyAlignment="1">
      <alignment horizontal="center" vertical="center" wrapText="1"/>
    </xf>
    <xf numFmtId="0" fontId="12" fillId="11" borderId="9" xfId="0" applyFont="1" applyFill="1" applyBorder="1" applyAlignment="1">
      <alignment vertical="center" wrapText="1"/>
    </xf>
    <xf numFmtId="0" fontId="12" fillId="11" borderId="5" xfId="0" applyFont="1" applyFill="1" applyBorder="1" applyAlignment="1">
      <alignment vertical="center" wrapText="1"/>
    </xf>
    <xf numFmtId="0" fontId="12" fillId="11" borderId="12" xfId="0" applyFont="1" applyFill="1" applyBorder="1" applyAlignment="1">
      <alignment vertical="center" wrapText="1"/>
    </xf>
    <xf numFmtId="0" fontId="12" fillId="11" borderId="5" xfId="0" applyFont="1" applyFill="1" applyBorder="1" applyAlignment="1">
      <alignment horizontal="center" vertical="center" wrapText="1"/>
    </xf>
    <xf numFmtId="0" fontId="12" fillId="11" borderId="12" xfId="0" applyFont="1" applyFill="1" applyBorder="1" applyAlignment="1">
      <alignment horizontal="center" vertical="center" wrapText="1"/>
    </xf>
    <xf numFmtId="0" fontId="12" fillId="16" borderId="9" xfId="0" applyFont="1" applyFill="1" applyBorder="1" applyAlignment="1">
      <alignment horizontal="center" vertical="center" wrapText="1"/>
    </xf>
    <xf numFmtId="0" fontId="12" fillId="16" borderId="5" xfId="0" applyFont="1" applyFill="1" applyBorder="1" applyAlignment="1">
      <alignment horizontal="center" vertical="center" wrapText="1"/>
    </xf>
    <xf numFmtId="0" fontId="0" fillId="17" borderId="0" xfId="0" applyFill="1"/>
    <xf numFmtId="0" fontId="17" fillId="13" borderId="14" xfId="0" applyFont="1" applyFill="1" applyBorder="1" applyAlignment="1">
      <alignment horizontal="center" vertical="center" wrapText="1"/>
    </xf>
    <xf numFmtId="0" fontId="17" fillId="7" borderId="24" xfId="0" applyFont="1" applyFill="1" applyBorder="1" applyAlignment="1">
      <alignment horizontal="center" vertical="center" wrapText="1"/>
    </xf>
    <xf numFmtId="0" fontId="0" fillId="14" borderId="18" xfId="0" applyFill="1" applyBorder="1" applyAlignment="1">
      <alignment horizontal="center" vertical="center"/>
    </xf>
    <xf numFmtId="0" fontId="0" fillId="14" borderId="19" xfId="0" applyFill="1" applyBorder="1" applyAlignment="1">
      <alignment horizontal="center" vertical="center"/>
    </xf>
    <xf numFmtId="0" fontId="0" fillId="7" borderId="5" xfId="0" applyFill="1" applyBorder="1" applyAlignment="1">
      <alignment horizontal="center" vertical="center"/>
    </xf>
    <xf numFmtId="0" fontId="0" fillId="7" borderId="12" xfId="0" applyFill="1" applyBorder="1" applyAlignment="1">
      <alignment horizontal="center" vertical="center"/>
    </xf>
    <xf numFmtId="0" fontId="0" fillId="14" borderId="5" xfId="0" applyFill="1" applyBorder="1" applyAlignment="1">
      <alignment horizontal="center" vertical="center"/>
    </xf>
    <xf numFmtId="0" fontId="0" fillId="14" borderId="12" xfId="0" applyFill="1" applyBorder="1" applyAlignment="1">
      <alignment horizontal="center" vertical="center"/>
    </xf>
    <xf numFmtId="0" fontId="0" fillId="7" borderId="7" xfId="0" applyFill="1" applyBorder="1" applyAlignment="1">
      <alignment horizontal="center" vertical="center"/>
    </xf>
    <xf numFmtId="0" fontId="0" fillId="7" borderId="13" xfId="0" applyFill="1" applyBorder="1" applyAlignment="1">
      <alignment horizontal="center" vertical="center"/>
    </xf>
    <xf numFmtId="0" fontId="0" fillId="7" borderId="28" xfId="0" applyFill="1" applyBorder="1" applyAlignment="1">
      <alignment horizontal="center" vertical="center"/>
    </xf>
    <xf numFmtId="0" fontId="0" fillId="14" borderId="27" xfId="0" applyFill="1" applyBorder="1" applyAlignment="1">
      <alignment horizontal="center" vertical="center"/>
    </xf>
    <xf numFmtId="0" fontId="20" fillId="13" borderId="2" xfId="0" applyFont="1" applyFill="1" applyBorder="1" applyAlignment="1">
      <alignment horizontal="center" vertical="center" wrapText="1"/>
    </xf>
    <xf numFmtId="0" fontId="0" fillId="7" borderId="21" xfId="0" applyFill="1" applyBorder="1" applyAlignment="1">
      <alignment horizontal="center" vertical="center"/>
    </xf>
    <xf numFmtId="0" fontId="20" fillId="13" borderId="4" xfId="0" applyFont="1" applyFill="1" applyBorder="1" applyAlignment="1">
      <alignment horizontal="center" vertical="center" wrapText="1"/>
    </xf>
    <xf numFmtId="0" fontId="0" fillId="14" borderId="21" xfId="0" applyFill="1" applyBorder="1" applyAlignment="1">
      <alignment horizontal="center" vertical="center"/>
    </xf>
    <xf numFmtId="0" fontId="0" fillId="14" borderId="22" xfId="0" applyFill="1" applyBorder="1" applyAlignment="1">
      <alignment horizontal="center" vertical="center"/>
    </xf>
    <xf numFmtId="0" fontId="0" fillId="7" borderId="23" xfId="0" applyFill="1" applyBorder="1" applyAlignment="1">
      <alignment horizontal="center" vertical="center"/>
    </xf>
    <xf numFmtId="0" fontId="0" fillId="7" borderId="18" xfId="0" applyFill="1" applyBorder="1" applyAlignment="1">
      <alignment horizontal="center" vertical="center"/>
    </xf>
    <xf numFmtId="0" fontId="0" fillId="7" borderId="22" xfId="0" applyFill="1" applyBorder="1" applyAlignment="1">
      <alignment horizontal="center" vertical="center"/>
    </xf>
    <xf numFmtId="0" fontId="0" fillId="14" borderId="23" xfId="0" applyFill="1" applyBorder="1" applyAlignment="1">
      <alignment horizontal="center" vertical="center"/>
    </xf>
    <xf numFmtId="0" fontId="20" fillId="13" borderId="3" xfId="0" applyFont="1" applyFill="1" applyBorder="1" applyAlignment="1">
      <alignment horizontal="center" vertical="center" wrapText="1"/>
    </xf>
    <xf numFmtId="0" fontId="22" fillId="14" borderId="17" xfId="0" applyFont="1" applyFill="1" applyBorder="1" applyAlignment="1">
      <alignment horizontal="left" vertical="center"/>
    </xf>
    <xf numFmtId="0" fontId="22" fillId="14" borderId="18" xfId="0" applyFont="1" applyFill="1" applyBorder="1" applyAlignment="1">
      <alignment horizontal="left" vertical="center"/>
    </xf>
    <xf numFmtId="0" fontId="22" fillId="12" borderId="18" xfId="0" applyFont="1" applyFill="1" applyBorder="1" applyAlignment="1">
      <alignment horizontal="left" vertical="center"/>
    </xf>
    <xf numFmtId="0" fontId="22" fillId="12" borderId="19" xfId="0" applyFont="1" applyFill="1" applyBorder="1" applyAlignment="1">
      <alignment horizontal="left" vertical="center"/>
    </xf>
    <xf numFmtId="0" fontId="22" fillId="7" borderId="9" xfId="0" applyFont="1" applyFill="1" applyBorder="1" applyAlignment="1">
      <alignment horizontal="left" vertical="center"/>
    </xf>
    <xf numFmtId="0" fontId="22" fillId="7" borderId="5" xfId="0" applyFont="1" applyFill="1" applyBorder="1" applyAlignment="1">
      <alignment horizontal="left" vertical="center"/>
    </xf>
    <xf numFmtId="0" fontId="22" fillId="12" borderId="5" xfId="0" applyFont="1" applyFill="1" applyBorder="1" applyAlignment="1">
      <alignment horizontal="left" vertical="center"/>
    </xf>
    <xf numFmtId="0" fontId="22" fillId="7" borderId="12" xfId="0" applyFont="1" applyFill="1" applyBorder="1" applyAlignment="1">
      <alignment horizontal="left" vertical="center"/>
    </xf>
    <xf numFmtId="0" fontId="22" fillId="14" borderId="9" xfId="0" applyFont="1" applyFill="1" applyBorder="1" applyAlignment="1">
      <alignment horizontal="left" vertical="center"/>
    </xf>
    <xf numFmtId="0" fontId="22" fillId="14" borderId="5" xfId="0" applyFont="1" applyFill="1" applyBorder="1" applyAlignment="1">
      <alignment horizontal="left" vertical="center"/>
    </xf>
    <xf numFmtId="0" fontId="22" fillId="12" borderId="12" xfId="0" applyFont="1" applyFill="1" applyBorder="1" applyAlignment="1">
      <alignment horizontal="left" vertical="center"/>
    </xf>
    <xf numFmtId="0" fontId="22" fillId="14" borderId="12" xfId="0" applyFont="1" applyFill="1" applyBorder="1" applyAlignment="1">
      <alignment horizontal="left" vertical="center"/>
    </xf>
    <xf numFmtId="0" fontId="22" fillId="12" borderId="9" xfId="0" applyFont="1" applyFill="1" applyBorder="1" applyAlignment="1">
      <alignment horizontal="left" vertical="center"/>
    </xf>
    <xf numFmtId="0" fontId="22" fillId="7" borderId="7" xfId="0" applyFont="1" applyFill="1" applyBorder="1" applyAlignment="1">
      <alignment horizontal="left" vertical="center"/>
    </xf>
    <xf numFmtId="0" fontId="22" fillId="7" borderId="13" xfId="0" applyFont="1" applyFill="1" applyBorder="1" applyAlignment="1">
      <alignment horizontal="left" vertical="center"/>
    </xf>
    <xf numFmtId="0" fontId="1" fillId="14" borderId="5" xfId="0" applyFont="1" applyFill="1" applyBorder="1" applyAlignment="1">
      <alignment horizontal="left" vertical="center"/>
    </xf>
    <xf numFmtId="0" fontId="1" fillId="7" borderId="7" xfId="0" applyFont="1" applyFill="1" applyBorder="1" applyAlignment="1">
      <alignment horizontal="left" vertical="center"/>
    </xf>
    <xf numFmtId="0" fontId="1" fillId="7" borderId="10" xfId="0" applyFont="1" applyFill="1" applyBorder="1" applyAlignment="1">
      <alignment horizontal="left" vertical="center"/>
    </xf>
    <xf numFmtId="0" fontId="9" fillId="15" borderId="14" xfId="0" applyFont="1" applyFill="1" applyBorder="1" applyAlignment="1">
      <alignment horizontal="center" vertical="center"/>
    </xf>
    <xf numFmtId="0" fontId="9" fillId="15" borderId="15" xfId="0" applyFont="1" applyFill="1" applyBorder="1" applyAlignment="1">
      <alignment horizontal="center" vertical="center"/>
    </xf>
    <xf numFmtId="0" fontId="9" fillId="15" borderId="16" xfId="0" applyFont="1" applyFill="1" applyBorder="1" applyAlignment="1">
      <alignment horizontal="center" vertical="center"/>
    </xf>
    <xf numFmtId="0" fontId="21" fillId="16" borderId="24" xfId="0" applyFont="1" applyFill="1" applyBorder="1" applyAlignment="1">
      <alignment horizontal="center" vertical="center" wrapText="1"/>
    </xf>
    <xf numFmtId="0" fontId="21" fillId="16" borderId="25" xfId="0" applyFont="1" applyFill="1" applyBorder="1" applyAlignment="1">
      <alignment horizontal="center" vertical="center" wrapText="1"/>
    </xf>
    <xf numFmtId="0" fontId="21" fillId="16" borderId="26" xfId="0" applyFont="1" applyFill="1" applyBorder="1" applyAlignment="1">
      <alignment horizontal="center" vertical="center" wrapText="1"/>
    </xf>
    <xf numFmtId="0" fontId="8" fillId="16" borderId="29" xfId="0" applyFont="1" applyFill="1" applyBorder="1" applyAlignment="1">
      <alignment horizontal="center"/>
    </xf>
    <xf numFmtId="0" fontId="8" fillId="16" borderId="23" xfId="0" applyFont="1" applyFill="1" applyBorder="1" applyAlignment="1">
      <alignment horizontal="center"/>
    </xf>
    <xf numFmtId="0" fontId="8" fillId="16" borderId="30" xfId="0" applyFont="1" applyFill="1" applyBorder="1" applyAlignment="1">
      <alignment horizontal="center"/>
    </xf>
    <xf numFmtId="0" fontId="2" fillId="4" borderId="31" xfId="0" applyFont="1" applyFill="1" applyBorder="1" applyAlignment="1">
      <alignment vertical="center"/>
    </xf>
    <xf numFmtId="0" fontId="0" fillId="4" borderId="32" xfId="0" applyFill="1" applyBorder="1" applyAlignment="1">
      <alignment vertical="center"/>
    </xf>
    <xf numFmtId="0" fontId="0" fillId="4" borderId="33" xfId="0" applyFill="1" applyBorder="1" applyAlignment="1">
      <alignment horizontal="center" vertical="center"/>
    </xf>
    <xf numFmtId="0" fontId="2" fillId="5" borderId="31" xfId="0" applyFont="1" applyFill="1" applyBorder="1" applyAlignment="1">
      <alignment vertical="center"/>
    </xf>
    <xf numFmtId="0" fontId="0" fillId="5" borderId="32" xfId="0" applyFill="1" applyBorder="1" applyAlignment="1">
      <alignment vertical="center"/>
    </xf>
    <xf numFmtId="0" fontId="0" fillId="5" borderId="33" xfId="0" applyFill="1" applyBorder="1" applyAlignment="1">
      <alignment horizontal="center" vertical="center"/>
    </xf>
    <xf numFmtId="0" fontId="2" fillId="6" borderId="17" xfId="0" applyFont="1" applyFill="1" applyBorder="1" applyAlignment="1">
      <alignment vertical="center"/>
    </xf>
    <xf numFmtId="0" fontId="0" fillId="6" borderId="18" xfId="0" applyFill="1" applyBorder="1" applyAlignment="1">
      <alignment vertical="center"/>
    </xf>
    <xf numFmtId="0" fontId="0" fillId="6" borderId="19" xfId="0" applyFill="1" applyBorder="1" applyAlignment="1">
      <alignment horizontal="center" vertical="center"/>
    </xf>
    <xf numFmtId="0" fontId="2" fillId="6" borderId="31" xfId="0" applyFont="1" applyFill="1" applyBorder="1" applyAlignment="1">
      <alignment vertical="center"/>
    </xf>
    <xf numFmtId="0" fontId="0" fillId="6" borderId="32" xfId="0" applyFill="1" applyBorder="1" applyAlignment="1">
      <alignment vertical="center"/>
    </xf>
    <xf numFmtId="0" fontId="0" fillId="6" borderId="33" xfId="0" applyFill="1" applyBorder="1" applyAlignment="1">
      <alignment horizontal="center" vertical="center"/>
    </xf>
    <xf numFmtId="0" fontId="2" fillId="4" borderId="34" xfId="0" applyFont="1" applyFill="1" applyBorder="1" applyAlignment="1">
      <alignment vertical="center"/>
    </xf>
    <xf numFmtId="0" fontId="0" fillId="4" borderId="27" xfId="0" applyFill="1" applyBorder="1" applyAlignment="1">
      <alignment vertical="center"/>
    </xf>
    <xf numFmtId="0" fontId="0" fillId="4" borderId="35" xfId="0" applyFill="1" applyBorder="1" applyAlignment="1">
      <alignment horizontal="center" vertical="center"/>
    </xf>
    <xf numFmtId="0" fontId="2" fillId="4" borderId="36" xfId="0" applyFont="1" applyFill="1" applyBorder="1" applyAlignment="1">
      <alignment vertical="center"/>
    </xf>
    <xf numFmtId="0" fontId="0" fillId="4" borderId="37" xfId="0" applyFill="1" applyBorder="1" applyAlignment="1">
      <alignment vertical="center"/>
    </xf>
    <xf numFmtId="0" fontId="0" fillId="4" borderId="38" xfId="0" applyFill="1" applyBorder="1" applyAlignment="1">
      <alignment horizontal="center" vertical="center"/>
    </xf>
    <xf numFmtId="0" fontId="2" fillId="5" borderId="34" xfId="0" applyFont="1" applyFill="1" applyBorder="1" applyAlignment="1">
      <alignment vertical="center"/>
    </xf>
    <xf numFmtId="0" fontId="0" fillId="5" borderId="27" xfId="0" applyFill="1" applyBorder="1" applyAlignment="1">
      <alignment vertical="center"/>
    </xf>
    <xf numFmtId="0" fontId="0" fillId="5" borderId="35" xfId="0" applyFill="1" applyBorder="1" applyAlignment="1">
      <alignment horizontal="center" vertical="center"/>
    </xf>
    <xf numFmtId="0" fontId="2" fillId="5" borderId="36" xfId="0" applyFont="1" applyFill="1" applyBorder="1" applyAlignment="1">
      <alignment vertical="center"/>
    </xf>
    <xf numFmtId="0" fontId="0" fillId="5" borderId="37" xfId="0" applyFill="1" applyBorder="1" applyAlignment="1">
      <alignment vertical="center"/>
    </xf>
    <xf numFmtId="0" fontId="0" fillId="5" borderId="38" xfId="0" applyFill="1" applyBorder="1" applyAlignment="1">
      <alignment horizontal="center" vertical="center"/>
    </xf>
    <xf numFmtId="0" fontId="2" fillId="6" borderId="29" xfId="0" applyFont="1" applyFill="1" applyBorder="1" applyAlignment="1">
      <alignment vertical="center"/>
    </xf>
    <xf numFmtId="0" fontId="0" fillId="6" borderId="23" xfId="0" applyFill="1" applyBorder="1" applyAlignment="1">
      <alignment vertical="center"/>
    </xf>
    <xf numFmtId="0" fontId="0" fillId="6" borderId="30" xfId="0" applyFill="1" applyBorder="1" applyAlignment="1">
      <alignment horizontal="center" vertical="center"/>
    </xf>
    <xf numFmtId="0" fontId="2" fillId="6" borderId="39" xfId="0" applyFont="1" applyFill="1" applyBorder="1" applyAlignment="1">
      <alignment vertical="center"/>
    </xf>
    <xf numFmtId="0" fontId="0" fillId="6" borderId="40" xfId="0" applyFill="1" applyBorder="1" applyAlignment="1">
      <alignment vertical="center"/>
    </xf>
    <xf numFmtId="0" fontId="0" fillId="6" borderId="41" xfId="0" applyFill="1" applyBorder="1" applyAlignment="1">
      <alignment horizontal="center" vertical="center"/>
    </xf>
    <xf numFmtId="0" fontId="2" fillId="6" borderId="42" xfId="0" applyFont="1" applyFill="1" applyBorder="1" applyAlignment="1">
      <alignment vertical="center"/>
    </xf>
    <xf numFmtId="0" fontId="0" fillId="6" borderId="43" xfId="0" applyFill="1" applyBorder="1" applyAlignment="1">
      <alignment vertical="center"/>
    </xf>
    <xf numFmtId="0" fontId="0" fillId="6" borderId="44" xfId="0" applyFill="1" applyBorder="1" applyAlignment="1">
      <alignment horizontal="center" vertical="center"/>
    </xf>
    <xf numFmtId="0" fontId="14" fillId="0" borderId="5" xfId="0" applyFont="1" applyBorder="1"/>
    <xf numFmtId="0" fontId="14" fillId="0" borderId="5" xfId="0" applyFont="1" applyBorder="1" applyAlignment="1">
      <alignment horizontal="center"/>
    </xf>
    <xf numFmtId="0" fontId="14" fillId="0" borderId="7" xfId="0" applyFont="1" applyBorder="1"/>
    <xf numFmtId="0" fontId="14" fillId="0" borderId="7" xfId="0" applyFont="1" applyBorder="1" applyAlignment="1">
      <alignment horizontal="center"/>
    </xf>
    <xf numFmtId="0" fontId="14" fillId="0" borderId="9" xfId="0" applyFont="1" applyBorder="1" applyAlignment="1">
      <alignment horizontal="center"/>
    </xf>
    <xf numFmtId="0" fontId="14" fillId="0" borderId="10" xfId="0" applyFont="1" applyBorder="1" applyAlignment="1">
      <alignment horizontal="center"/>
    </xf>
    <xf numFmtId="0" fontId="14" fillId="0" borderId="12" xfId="0" applyFont="1" applyBorder="1"/>
    <xf numFmtId="0" fontId="14" fillId="0" borderId="13" xfId="0" applyFont="1" applyBorder="1"/>
    <xf numFmtId="0" fontId="13" fillId="15" borderId="14" xfId="0" applyFont="1" applyFill="1" applyBorder="1" applyAlignment="1">
      <alignment horizontal="center" vertical="center"/>
    </xf>
    <xf numFmtId="0" fontId="13" fillId="15" borderId="15" xfId="0" applyFont="1" applyFill="1" applyBorder="1" applyAlignment="1">
      <alignment horizontal="center" vertical="center"/>
    </xf>
    <xf numFmtId="0" fontId="13" fillId="15" borderId="16" xfId="0" applyFont="1" applyFill="1" applyBorder="1" applyAlignment="1">
      <alignment horizontal="center" vertical="center"/>
    </xf>
    <xf numFmtId="0" fontId="14" fillId="0" borderId="17" xfId="0" applyFont="1" applyBorder="1" applyAlignment="1">
      <alignment horizontal="center"/>
    </xf>
    <xf numFmtId="0" fontId="14" fillId="0" borderId="18" xfId="0" applyFont="1" applyBorder="1"/>
    <xf numFmtId="0" fontId="14" fillId="0" borderId="18" xfId="0" applyFont="1" applyBorder="1" applyAlignment="1">
      <alignment horizontal="center"/>
    </xf>
    <xf numFmtId="0" fontId="14" fillId="0" borderId="19" xfId="0" applyFont="1" applyBorder="1"/>
    <xf numFmtId="0" fontId="13" fillId="16" borderId="24" xfId="0" applyFont="1" applyFill="1" applyBorder="1" applyAlignment="1">
      <alignment horizontal="center" vertical="center"/>
    </xf>
    <xf numFmtId="0" fontId="13" fillId="16" borderId="25" xfId="0" applyFont="1" applyFill="1" applyBorder="1" applyAlignment="1">
      <alignment horizontal="center" vertical="center"/>
    </xf>
    <xf numFmtId="0" fontId="13" fillId="16" borderId="26" xfId="0" applyFont="1" applyFill="1" applyBorder="1" applyAlignment="1">
      <alignment horizontal="center" vertical="center"/>
    </xf>
    <xf numFmtId="0" fontId="23" fillId="2" borderId="0" xfId="0" applyFont="1" applyFill="1" applyAlignment="1">
      <alignment horizontal="center"/>
    </xf>
    <xf numFmtId="0" fontId="12" fillId="16" borderId="45" xfId="0" applyFont="1" applyFill="1" applyBorder="1" applyAlignment="1">
      <alignment horizontal="center" vertical="center"/>
    </xf>
    <xf numFmtId="0" fontId="13" fillId="16" borderId="0" xfId="0" applyFont="1" applyFill="1" applyBorder="1" applyAlignment="1">
      <alignment horizontal="right" vertical="center"/>
    </xf>
    <xf numFmtId="0" fontId="10" fillId="18" borderId="0" xfId="0" applyFont="1" applyFill="1" applyAlignment="1">
      <alignment horizontal="center" vertical="center"/>
    </xf>
    <xf numFmtId="0" fontId="4" fillId="0" borderId="46" xfId="0" applyFont="1" applyBorder="1" applyAlignment="1">
      <alignment horizontal="center"/>
    </xf>
    <xf numFmtId="0" fontId="4" fillId="0" borderId="47" xfId="0" applyFont="1" applyBorder="1" applyAlignment="1">
      <alignment horizontal="center"/>
    </xf>
    <xf numFmtId="0" fontId="4" fillId="0" borderId="48" xfId="0" applyFont="1" applyBorder="1" applyAlignment="1">
      <alignment horizontal="center"/>
    </xf>
    <xf numFmtId="0" fontId="4" fillId="0" borderId="49" xfId="0" applyFont="1" applyBorder="1" applyAlignment="1">
      <alignment horizontal="center"/>
    </xf>
    <xf numFmtId="0" fontId="4" fillId="0" borderId="50" xfId="0" applyFont="1" applyBorder="1" applyAlignment="1">
      <alignment horizontal="center"/>
    </xf>
    <xf numFmtId="0" fontId="11" fillId="19" borderId="51" xfId="0" applyFont="1" applyFill="1" applyBorder="1" applyAlignment="1">
      <alignment horizontal="center" vertical="center" wrapText="1"/>
    </xf>
    <xf numFmtId="0" fontId="4" fillId="0" borderId="52" xfId="0" applyFont="1" applyBorder="1" applyAlignment="1">
      <alignment horizontal="center"/>
    </xf>
    <xf numFmtId="0" fontId="11" fillId="19" borderId="53" xfId="0" applyFont="1" applyFill="1" applyBorder="1" applyAlignment="1">
      <alignment horizontal="center" vertical="center" wrapText="1"/>
    </xf>
    <xf numFmtId="0" fontId="11" fillId="19" borderId="57" xfId="0" applyFont="1" applyFill="1" applyBorder="1" applyAlignment="1">
      <alignment horizontal="center" vertical="center" wrapText="1"/>
    </xf>
    <xf numFmtId="0" fontId="4" fillId="0" borderId="54" xfId="0" applyFont="1" applyBorder="1" applyAlignment="1">
      <alignment horizontal="left"/>
    </xf>
    <xf numFmtId="0" fontId="4" fillId="0" borderId="55" xfId="0" applyFont="1" applyBorder="1" applyAlignment="1">
      <alignment horizontal="left"/>
    </xf>
    <xf numFmtId="0" fontId="3" fillId="0" borderId="47" xfId="0" applyFont="1" applyBorder="1" applyAlignment="1">
      <alignment horizontal="left"/>
    </xf>
    <xf numFmtId="0" fontId="3" fillId="0" borderId="49" xfId="0" applyFont="1" applyBorder="1" applyAlignment="1">
      <alignment horizontal="left"/>
    </xf>
    <xf numFmtId="164" fontId="4" fillId="0" borderId="47" xfId="0" applyNumberFormat="1" applyFont="1" applyBorder="1" applyAlignment="1">
      <alignment horizontal="center"/>
    </xf>
    <xf numFmtId="164" fontId="4" fillId="0" borderId="49" xfId="0" applyNumberFormat="1" applyFont="1" applyBorder="1" applyAlignment="1">
      <alignment horizontal="center"/>
    </xf>
    <xf numFmtId="0" fontId="10" fillId="18" borderId="0" xfId="0" applyFont="1" applyFill="1" applyBorder="1" applyAlignment="1">
      <alignment horizontal="center" vertical="center"/>
    </xf>
    <xf numFmtId="1" fontId="4" fillId="0" borderId="47" xfId="0" applyNumberFormat="1" applyFont="1" applyBorder="1" applyAlignment="1">
      <alignment horizontal="center"/>
    </xf>
    <xf numFmtId="1" fontId="4" fillId="0" borderId="49" xfId="0" applyNumberFormat="1" applyFont="1" applyBorder="1" applyAlignment="1">
      <alignment horizontal="center"/>
    </xf>
    <xf numFmtId="1" fontId="4" fillId="0" borderId="52" xfId="0" applyNumberFormat="1" applyFont="1" applyBorder="1" applyAlignment="1">
      <alignment horizontal="center"/>
    </xf>
    <xf numFmtId="165" fontId="4" fillId="0" borderId="47" xfId="0" applyNumberFormat="1" applyFont="1" applyBorder="1" applyAlignment="1">
      <alignment horizontal="center"/>
    </xf>
    <xf numFmtId="165" fontId="4" fillId="0" borderId="49" xfId="0" applyNumberFormat="1" applyFont="1" applyBorder="1" applyAlignment="1">
      <alignment horizontal="center"/>
    </xf>
    <xf numFmtId="165" fontId="4" fillId="0" borderId="52" xfId="0" applyNumberFormat="1" applyFont="1" applyBorder="1" applyAlignment="1">
      <alignment horizontal="center"/>
    </xf>
    <xf numFmtId="0" fontId="4" fillId="0" borderId="58" xfId="0" applyFont="1" applyBorder="1" applyAlignment="1">
      <alignment horizontal="left"/>
    </xf>
    <xf numFmtId="0" fontId="4" fillId="0" borderId="59" xfId="0" applyFont="1" applyBorder="1" applyAlignment="1">
      <alignment horizontal="left"/>
    </xf>
    <xf numFmtId="0" fontId="4" fillId="0" borderId="60" xfId="0" applyFont="1" applyBorder="1" applyAlignment="1">
      <alignment horizontal="left"/>
    </xf>
    <xf numFmtId="0" fontId="11" fillId="18" borderId="0" xfId="0" applyFont="1" applyFill="1" applyAlignment="1">
      <alignment horizontal="center"/>
    </xf>
    <xf numFmtId="0" fontId="11" fillId="18" borderId="51" xfId="0" applyFont="1" applyFill="1" applyBorder="1" applyAlignment="1">
      <alignment horizontal="center"/>
    </xf>
    <xf numFmtId="0" fontId="11" fillId="18" borderId="53" xfId="0" applyFont="1" applyFill="1" applyBorder="1" applyAlignment="1">
      <alignment horizontal="center"/>
    </xf>
    <xf numFmtId="0" fontId="3" fillId="0" borderId="62" xfId="0" applyFont="1" applyBorder="1"/>
    <xf numFmtId="0" fontId="3" fillId="20" borderId="62" xfId="0" applyFont="1" applyFill="1" applyBorder="1"/>
    <xf numFmtId="0" fontId="3" fillId="0" borderId="63" xfId="0" applyFont="1" applyBorder="1"/>
    <xf numFmtId="0" fontId="11" fillId="18" borderId="57" xfId="0" applyFont="1" applyFill="1" applyBorder="1" applyAlignment="1">
      <alignment horizontal="center"/>
    </xf>
    <xf numFmtId="0" fontId="4" fillId="0" borderId="64" xfId="0" applyFont="1" applyBorder="1" applyAlignment="1">
      <alignment horizontal="center"/>
    </xf>
    <xf numFmtId="0" fontId="4" fillId="20" borderId="64" xfId="0" applyFont="1" applyFill="1" applyBorder="1" applyAlignment="1">
      <alignment horizontal="center"/>
    </xf>
    <xf numFmtId="164" fontId="4" fillId="0" borderId="64" xfId="0" applyNumberFormat="1" applyFont="1" applyBorder="1" applyAlignment="1">
      <alignment horizontal="center"/>
    </xf>
    <xf numFmtId="165" fontId="4" fillId="20" borderId="64" xfId="0" applyNumberFormat="1" applyFont="1" applyFill="1" applyBorder="1" applyAlignment="1">
      <alignment horizontal="center"/>
    </xf>
    <xf numFmtId="0" fontId="4" fillId="0" borderId="65" xfId="0" applyFont="1" applyBorder="1" applyAlignment="1">
      <alignment horizontal="center"/>
    </xf>
    <xf numFmtId="0" fontId="24" fillId="0" borderId="0" xfId="0" applyFont="1"/>
    <xf numFmtId="0" fontId="24" fillId="0" borderId="0" xfId="0" applyFont="1" applyAlignment="1">
      <alignment wrapText="1"/>
    </xf>
    <xf numFmtId="0" fontId="4" fillId="0" borderId="66" xfId="0" applyFont="1" applyBorder="1" applyAlignment="1">
      <alignment horizontal="left"/>
    </xf>
    <xf numFmtId="0" fontId="3" fillId="0" borderId="50" xfId="0" applyFont="1" applyBorder="1" applyAlignment="1">
      <alignment horizontal="left"/>
    </xf>
    <xf numFmtId="0" fontId="25" fillId="0" borderId="62" xfId="0" applyFont="1" applyBorder="1" applyAlignment="1">
      <alignment horizontal="center"/>
    </xf>
    <xf numFmtId="0" fontId="26" fillId="20" borderId="62" xfId="0" applyFont="1" applyFill="1" applyBorder="1" applyAlignment="1">
      <alignment horizontal="center"/>
    </xf>
    <xf numFmtId="0" fontId="27" fillId="0" borderId="62" xfId="0" applyFont="1" applyBorder="1" applyAlignment="1">
      <alignment horizontal="center"/>
    </xf>
    <xf numFmtId="0" fontId="28" fillId="20" borderId="62" xfId="0" applyFont="1" applyFill="1" applyBorder="1" applyAlignment="1">
      <alignment horizontal="center"/>
    </xf>
    <xf numFmtId="0" fontId="29" fillId="0" borderId="62" xfId="0" applyFont="1" applyBorder="1" applyAlignment="1">
      <alignment horizontal="center"/>
    </xf>
    <xf numFmtId="0" fontId="30" fillId="20" borderId="62" xfId="0" applyFont="1" applyFill="1" applyBorder="1" applyAlignment="1">
      <alignment horizontal="center"/>
    </xf>
    <xf numFmtId="0" fontId="6" fillId="4" borderId="63" xfId="0" applyFont="1" applyFill="1" applyBorder="1" applyAlignment="1">
      <alignment horizontal="center"/>
    </xf>
    <xf numFmtId="0" fontId="6" fillId="4" borderId="65" xfId="0" applyFont="1" applyFill="1" applyBorder="1" applyAlignment="1">
      <alignment horizontal="center"/>
    </xf>
    <xf numFmtId="164" fontId="4" fillId="0" borderId="50" xfId="0" applyNumberFormat="1" applyFont="1" applyBorder="1" applyAlignment="1">
      <alignment horizontal="center"/>
    </xf>
    <xf numFmtId="0" fontId="11" fillId="19" borderId="51" xfId="0" applyFont="1" applyFill="1" applyBorder="1" applyAlignment="1">
      <alignment horizontal="center" wrapText="1"/>
    </xf>
    <xf numFmtId="0" fontId="11" fillId="19" borderId="53" xfId="0" applyFont="1" applyFill="1" applyBorder="1" applyAlignment="1">
      <alignment horizontal="center" wrapText="1"/>
    </xf>
    <xf numFmtId="0" fontId="11" fillId="19" borderId="57" xfId="0" applyFont="1" applyFill="1" applyBorder="1" applyAlignment="1">
      <alignment horizontal="center" wrapText="1"/>
    </xf>
    <xf numFmtId="0" fontId="4" fillId="0" borderId="67" xfId="0" applyFont="1" applyBorder="1" applyAlignment="1">
      <alignment horizontal="center"/>
    </xf>
    <xf numFmtId="0" fontId="4" fillId="0" borderId="68" xfId="0" applyFont="1" applyBorder="1" applyAlignment="1">
      <alignment horizontal="center"/>
    </xf>
    <xf numFmtId="0" fontId="31" fillId="9" borderId="70" xfId="0" applyFont="1" applyFill="1" applyBorder="1" applyAlignment="1">
      <alignment horizontal="left"/>
    </xf>
    <xf numFmtId="0" fontId="31" fillId="9" borderId="71" xfId="0" applyFont="1" applyFill="1" applyBorder="1" applyAlignment="1">
      <alignment horizontal="left"/>
    </xf>
    <xf numFmtId="165" fontId="4" fillId="0" borderId="58" xfId="0" applyNumberFormat="1" applyFont="1" applyBorder="1" applyAlignment="1">
      <alignment horizontal="center"/>
    </xf>
    <xf numFmtId="165" fontId="4" fillId="0" borderId="59" xfId="0" applyNumberFormat="1" applyFont="1" applyBorder="1" applyAlignment="1">
      <alignment horizontal="center"/>
    </xf>
    <xf numFmtId="0" fontId="3" fillId="4" borderId="69" xfId="0" applyFont="1" applyFill="1" applyBorder="1" applyAlignment="1">
      <alignment horizontal="center"/>
    </xf>
    <xf numFmtId="0" fontId="3" fillId="4" borderId="52" xfId="0" applyFont="1" applyFill="1" applyBorder="1" applyAlignment="1">
      <alignment horizontal="center"/>
    </xf>
    <xf numFmtId="1" fontId="3" fillId="4" borderId="52" xfId="0" applyNumberFormat="1" applyFont="1" applyFill="1" applyBorder="1" applyAlignment="1">
      <alignment horizontal="center"/>
    </xf>
    <xf numFmtId="0" fontId="3" fillId="4" borderId="52" xfId="0" applyNumberFormat="1" applyFont="1" applyFill="1" applyBorder="1" applyAlignment="1">
      <alignment horizontal="center"/>
    </xf>
    <xf numFmtId="165" fontId="3" fillId="4" borderId="60" xfId="0" applyNumberFormat="1" applyFont="1" applyFill="1" applyBorder="1" applyAlignment="1">
      <alignment horizontal="center"/>
    </xf>
    <xf numFmtId="0" fontId="3" fillId="4" borderId="56" xfId="0" applyFont="1" applyFill="1" applyBorder="1" applyAlignment="1">
      <alignment horizontal="left"/>
    </xf>
    <xf numFmtId="0" fontId="32" fillId="0" borderId="0" xfId="0" applyFont="1" applyBorder="1" applyAlignment="1">
      <alignment horizontal="left" vertical="center" wrapText="1"/>
    </xf>
    <xf numFmtId="0" fontId="32" fillId="20" borderId="0" xfId="0" applyFont="1" applyFill="1" applyBorder="1" applyAlignment="1">
      <alignment horizontal="left" vertical="center" wrapText="1"/>
    </xf>
    <xf numFmtId="0" fontId="32" fillId="20" borderId="61" xfId="0" applyFont="1" applyFill="1" applyBorder="1" applyAlignment="1">
      <alignment horizontal="left" vertical="center" wrapText="1"/>
    </xf>
    <xf numFmtId="0" fontId="32" fillId="0" borderId="62" xfId="0" applyFont="1" applyBorder="1" applyAlignment="1">
      <alignment horizontal="left" vertical="center" wrapText="1"/>
    </xf>
    <xf numFmtId="0" fontId="32" fillId="20" borderId="62" xfId="0" applyFont="1" applyFill="1" applyBorder="1" applyAlignment="1">
      <alignment horizontal="left" vertical="center" wrapText="1"/>
    </xf>
    <xf numFmtId="0" fontId="32" fillId="20" borderId="63" xfId="0" applyFont="1" applyFill="1" applyBorder="1" applyAlignment="1">
      <alignment horizontal="left" vertical="center" wrapText="1"/>
    </xf>
    <xf numFmtId="0" fontId="32" fillId="0" borderId="64" xfId="0" applyFont="1" applyBorder="1" applyAlignment="1">
      <alignment horizontal="left" vertical="center" wrapText="1"/>
    </xf>
    <xf numFmtId="0" fontId="32" fillId="20" borderId="64" xfId="0" applyFont="1" applyFill="1" applyBorder="1" applyAlignment="1">
      <alignment horizontal="left" vertical="center" wrapText="1"/>
    </xf>
    <xf numFmtId="0" fontId="32" fillId="20" borderId="65" xfId="0" applyFont="1" applyFill="1" applyBorder="1" applyAlignment="1">
      <alignment horizontal="left" vertical="center" wrapText="1"/>
    </xf>
  </cellXfs>
  <cellStyles count="1">
    <cellStyle name="Normal" xfId="0" builtinId="0"/>
  </cellStyles>
  <dxfs count="211">
    <dxf>
      <font>
        <b/>
        <i val="0"/>
        <color rgb="FFB30000"/>
      </font>
      <fill>
        <patternFill patternType="solid">
          <fgColor indexed="64"/>
          <bgColor rgb="FFFCE4E4"/>
        </patternFill>
      </fill>
    </dxf>
    <dxf>
      <font>
        <b/>
        <i val="0"/>
        <color rgb="FF2E5218"/>
      </font>
      <fill>
        <patternFill patternType="solid">
          <fgColor indexed="64"/>
          <bgColor rgb="FFE2EFDA"/>
        </patternFill>
      </fill>
    </dxf>
    <dxf>
      <font>
        <b/>
        <i val="0"/>
        <color rgb="FFB30000"/>
      </font>
      <fill>
        <patternFill patternType="solid">
          <fgColor indexed="64"/>
          <bgColor rgb="FFFCE4E4"/>
        </patternFill>
      </fill>
    </dxf>
    <dxf>
      <font>
        <b/>
        <i val="0"/>
        <color rgb="FF2E5218"/>
      </font>
      <fill>
        <patternFill patternType="solid">
          <fgColor indexed="64"/>
          <bgColor rgb="FFE2EFDA"/>
        </patternFill>
      </fill>
    </dxf>
    <dxf>
      <font>
        <b/>
        <i val="0"/>
        <color rgb="FFB30000"/>
      </font>
      <fill>
        <patternFill patternType="solid">
          <fgColor indexed="64"/>
          <bgColor rgb="FFFCE4E4"/>
        </patternFill>
      </fill>
    </dxf>
    <dxf>
      <font>
        <b/>
        <i val="0"/>
        <color rgb="FF2E5218"/>
      </font>
      <fill>
        <patternFill patternType="solid">
          <fgColor indexed="64"/>
          <bgColor rgb="FFE2EFDA"/>
        </patternFill>
      </fill>
    </dxf>
    <dxf>
      <font>
        <b/>
        <i val="0"/>
        <color rgb="FFB30000"/>
      </font>
      <fill>
        <patternFill patternType="solid">
          <fgColor indexed="64"/>
          <bgColor rgb="FFFCE4E4"/>
        </patternFill>
      </fill>
    </dxf>
    <dxf>
      <font>
        <b/>
        <i val="0"/>
        <color rgb="FF2E5218"/>
      </font>
      <fill>
        <patternFill patternType="solid">
          <fgColor indexed="64"/>
          <bgColor rgb="FFE2EFDA"/>
        </patternFill>
      </fill>
    </dxf>
    <dxf>
      <font>
        <b/>
        <i val="0"/>
        <color rgb="FFB30000"/>
      </font>
      <fill>
        <patternFill patternType="solid">
          <fgColor indexed="64"/>
          <bgColor rgb="FFFCE4E4"/>
        </patternFill>
      </fill>
    </dxf>
    <dxf>
      <font>
        <b/>
        <i val="0"/>
        <color rgb="FF2E5218"/>
      </font>
      <fill>
        <patternFill patternType="solid">
          <fgColor indexed="64"/>
          <bgColor rgb="FFE2EFDA"/>
        </patternFill>
      </fill>
    </dxf>
    <dxf>
      <font>
        <b/>
        <i val="0"/>
        <color rgb="FFB30000"/>
      </font>
      <fill>
        <patternFill patternType="solid">
          <fgColor indexed="64"/>
          <bgColor rgb="FFFCE4E4"/>
        </patternFill>
      </fill>
    </dxf>
    <dxf>
      <font>
        <b/>
        <i val="0"/>
        <color rgb="FF2E5218"/>
      </font>
      <fill>
        <patternFill patternType="solid">
          <fgColor indexed="64"/>
          <bgColor rgb="FFE2EFDA"/>
        </patternFill>
      </fill>
    </dxf>
    <dxf>
      <font>
        <b/>
        <i val="0"/>
        <color rgb="FFB30000"/>
      </font>
      <fill>
        <patternFill patternType="solid">
          <fgColor indexed="64"/>
          <bgColor rgb="FFFCE4E4"/>
        </patternFill>
      </fill>
    </dxf>
    <dxf>
      <font>
        <b/>
        <i val="0"/>
        <color rgb="FF2E5218"/>
      </font>
      <fill>
        <patternFill patternType="solid">
          <fgColor indexed="64"/>
          <bgColor rgb="FFE2EFDA"/>
        </patternFill>
      </fill>
    </dxf>
    <dxf>
      <font>
        <b/>
        <i val="0"/>
        <color rgb="FFB30000"/>
      </font>
      <fill>
        <patternFill patternType="solid">
          <fgColor indexed="64"/>
          <bgColor rgb="FFFCE4E4"/>
        </patternFill>
      </fill>
    </dxf>
    <dxf>
      <font>
        <b/>
        <i val="0"/>
        <color rgb="FF2E5218"/>
      </font>
      <fill>
        <patternFill patternType="solid">
          <fgColor indexed="64"/>
          <bgColor rgb="FFE2EFDA"/>
        </patternFill>
      </fill>
    </dxf>
    <dxf>
      <font>
        <b/>
        <i val="0"/>
        <color rgb="FFB30000"/>
      </font>
      <fill>
        <patternFill patternType="solid">
          <fgColor indexed="64"/>
          <bgColor rgb="FFFCE4E4"/>
        </patternFill>
      </fill>
    </dxf>
    <dxf>
      <font>
        <b/>
        <i val="0"/>
        <color rgb="FF2E5218"/>
      </font>
      <fill>
        <patternFill patternType="solid">
          <fgColor indexed="64"/>
          <bgColor rgb="FFE2EFDA"/>
        </patternFill>
      </fill>
    </dxf>
    <dxf>
      <font>
        <b/>
        <i val="0"/>
        <color rgb="FFB30000"/>
      </font>
      <fill>
        <patternFill patternType="solid">
          <fgColor indexed="64"/>
          <bgColor rgb="FFFCE4E4"/>
        </patternFill>
      </fill>
    </dxf>
    <dxf>
      <font>
        <b/>
        <i val="0"/>
        <color rgb="FF2E5218"/>
      </font>
      <fill>
        <patternFill patternType="solid">
          <fgColor indexed="64"/>
          <bgColor rgb="FFE2EFDA"/>
        </patternFill>
      </fill>
    </dxf>
    <dxf>
      <font>
        <b/>
        <i val="0"/>
        <color rgb="FFB30000"/>
      </font>
      <fill>
        <patternFill patternType="solid">
          <fgColor indexed="64"/>
          <bgColor rgb="FFFCE4E4"/>
        </patternFill>
      </fill>
    </dxf>
    <dxf>
      <font>
        <b/>
        <i val="0"/>
        <color rgb="FF2E5218"/>
      </font>
      <fill>
        <patternFill patternType="solid">
          <fgColor indexed="64"/>
          <bgColor rgb="FFE2EFDA"/>
        </patternFill>
      </fill>
    </dxf>
    <dxf>
      <font>
        <b/>
        <i val="0"/>
        <color rgb="FFB30000"/>
      </font>
      <fill>
        <patternFill patternType="solid">
          <fgColor indexed="64"/>
          <bgColor rgb="FFFCE4E4"/>
        </patternFill>
      </fill>
    </dxf>
    <dxf>
      <font>
        <b/>
        <i val="0"/>
        <color rgb="FF2E5218"/>
      </font>
      <fill>
        <patternFill patternType="solid">
          <fgColor indexed="64"/>
          <bgColor rgb="FFE2EFDA"/>
        </patternFill>
      </fill>
    </dxf>
    <dxf>
      <font>
        <b/>
        <i val="0"/>
        <color rgb="FFB30000"/>
      </font>
      <fill>
        <patternFill patternType="solid">
          <fgColor indexed="64"/>
          <bgColor rgb="FFFCE4E4"/>
        </patternFill>
      </fill>
    </dxf>
    <dxf>
      <font>
        <b/>
        <i val="0"/>
        <color rgb="FF2E5218"/>
      </font>
      <fill>
        <patternFill patternType="solid">
          <fgColor indexed="64"/>
          <bgColor rgb="FFE2EFDA"/>
        </patternFill>
      </fill>
    </dxf>
    <dxf>
      <font>
        <b/>
        <i val="0"/>
        <color rgb="FFB30000"/>
      </font>
      <fill>
        <patternFill patternType="solid">
          <fgColor indexed="64"/>
          <bgColor rgb="FFFCE4E4"/>
        </patternFill>
      </fill>
    </dxf>
    <dxf>
      <font>
        <b/>
        <i val="0"/>
        <color rgb="FF2E5218"/>
      </font>
      <fill>
        <patternFill patternType="solid">
          <fgColor indexed="64"/>
          <bgColor rgb="FFE2EFDA"/>
        </patternFill>
      </fill>
    </dxf>
    <dxf>
      <font>
        <b/>
        <i val="0"/>
        <color rgb="FFB30000"/>
      </font>
      <fill>
        <patternFill patternType="solid">
          <fgColor indexed="64"/>
          <bgColor rgb="FFFCE4E4"/>
        </patternFill>
      </fill>
    </dxf>
    <dxf>
      <font>
        <b/>
        <i val="0"/>
        <color rgb="FF2E5218"/>
      </font>
      <fill>
        <patternFill patternType="solid">
          <fgColor indexed="64"/>
          <bgColor rgb="FFE2EFDA"/>
        </patternFill>
      </fill>
    </dxf>
    <dxf>
      <font>
        <b/>
        <i val="0"/>
        <color rgb="FFB30000"/>
      </font>
      <fill>
        <patternFill patternType="solid">
          <fgColor indexed="64"/>
          <bgColor rgb="FFFCE4E4"/>
        </patternFill>
      </fill>
    </dxf>
    <dxf>
      <font>
        <b/>
        <i val="0"/>
        <color rgb="FF2E5218"/>
      </font>
      <fill>
        <patternFill patternType="solid">
          <fgColor indexed="64"/>
          <bgColor rgb="FFE2EFDA"/>
        </patternFill>
      </fill>
    </dxf>
    <dxf>
      <font>
        <b/>
        <i val="0"/>
        <color rgb="FFB30000"/>
      </font>
      <fill>
        <patternFill patternType="solid">
          <fgColor indexed="64"/>
          <bgColor rgb="FFFCE4E4"/>
        </patternFill>
      </fill>
    </dxf>
    <dxf>
      <font>
        <b/>
        <i val="0"/>
        <color rgb="FF2E5218"/>
      </font>
      <fill>
        <patternFill patternType="solid">
          <fgColor indexed="64"/>
          <bgColor rgb="FFE2EFDA"/>
        </patternFill>
      </fill>
    </dxf>
    <dxf>
      <font>
        <b/>
        <i val="0"/>
        <color rgb="FFB30000"/>
      </font>
      <fill>
        <patternFill patternType="solid">
          <fgColor indexed="64"/>
          <bgColor rgb="FFFCE4E4"/>
        </patternFill>
      </fill>
    </dxf>
    <dxf>
      <font>
        <b/>
        <i val="0"/>
        <color rgb="FF2E5218"/>
      </font>
      <fill>
        <patternFill patternType="solid">
          <fgColor indexed="64"/>
          <bgColor rgb="FFE2EFDA"/>
        </patternFill>
      </fill>
    </dxf>
    <dxf>
      <font>
        <b/>
        <i val="0"/>
        <color rgb="FFB30000"/>
      </font>
      <fill>
        <patternFill patternType="solid">
          <fgColor indexed="64"/>
          <bgColor rgb="FFFCE4E4"/>
        </patternFill>
      </fill>
    </dxf>
    <dxf>
      <font>
        <b/>
        <i val="0"/>
        <color rgb="FF2E5218"/>
      </font>
      <fill>
        <patternFill patternType="solid">
          <fgColor indexed="64"/>
          <bgColor rgb="FFE2EFDA"/>
        </patternFill>
      </fill>
    </dxf>
    <dxf>
      <font>
        <b/>
        <i val="0"/>
        <color rgb="FFB30000"/>
      </font>
      <fill>
        <patternFill patternType="solid">
          <fgColor indexed="64"/>
          <bgColor rgb="FFFCE4E4"/>
        </patternFill>
      </fill>
    </dxf>
    <dxf>
      <font>
        <b/>
        <i val="0"/>
        <color rgb="FF2E5218"/>
      </font>
      <fill>
        <patternFill patternType="solid">
          <fgColor indexed="64"/>
          <bgColor rgb="FFE2EFDA"/>
        </patternFill>
      </fill>
    </dxf>
    <dxf>
      <font>
        <color rgb="FFFFFFFF"/>
      </font>
      <fill>
        <patternFill patternType="solid">
          <fgColor indexed="64"/>
          <bgColor rgb="FFC00000"/>
        </patternFill>
      </fill>
    </dxf>
    <dxf>
      <font>
        <b/>
        <i val="0"/>
        <color rgb="FFBF8F00"/>
      </font>
      <fill>
        <patternFill patternType="solid">
          <fgColor indexed="64"/>
          <bgColor rgb="FFFFF2CC"/>
        </patternFill>
      </fill>
    </dxf>
    <dxf>
      <font>
        <color rgb="FFB30000"/>
      </font>
      <fill>
        <patternFill patternType="solid">
          <fgColor indexed="64"/>
          <bgColor rgb="FFFCE4E4"/>
        </patternFill>
      </fill>
    </dxf>
    <dxf>
      <font>
        <b/>
        <i val="0"/>
      </font>
      <fill>
        <patternFill patternType="solid">
          <fgColor indexed="64"/>
          <bgColor rgb="FFA9D08E"/>
        </patternFill>
      </fill>
    </dxf>
    <dxf>
      <font>
        <b/>
        <i val="0"/>
        <color rgb="FF2E5218"/>
      </font>
    </dxf>
    <dxf>
      <font>
        <b/>
        <i val="0"/>
        <color rgb="FF595959"/>
      </font>
    </dxf>
    <dxf>
      <font>
        <b/>
        <i val="0"/>
        <color rgb="FF7F6000"/>
      </font>
    </dxf>
    <dxf>
      <font>
        <b/>
        <i val="0"/>
        <color rgb="FF0B5394"/>
      </font>
    </dxf>
    <dxf>
      <font>
        <b/>
        <i val="0"/>
        <color rgb="FFB30000"/>
      </font>
    </dxf>
    <dxf>
      <font>
        <b/>
        <i val="0"/>
        <color rgb="FF7030A0"/>
      </font>
    </dxf>
    <dxf>
      <font>
        <b/>
        <i val="0"/>
        <color rgb="FF2E5218"/>
      </font>
    </dxf>
    <dxf>
      <font>
        <b/>
        <i val="0"/>
        <color rgb="FF595959"/>
      </font>
    </dxf>
    <dxf>
      <font>
        <b/>
        <i val="0"/>
        <color rgb="FF7F6000"/>
      </font>
    </dxf>
    <dxf>
      <font>
        <b/>
        <i val="0"/>
        <color rgb="FF0B5394"/>
      </font>
    </dxf>
    <dxf>
      <font>
        <b/>
        <i val="0"/>
        <color rgb="FFB30000"/>
      </font>
    </dxf>
    <dxf>
      <font>
        <b/>
        <i val="0"/>
        <color rgb="FF7030A0"/>
      </font>
    </dxf>
    <dxf>
      <fill>
        <patternFill patternType="solid">
          <fgColor indexed="64"/>
          <bgColor rgb="FFF2F7FC"/>
        </patternFill>
      </fill>
    </dxf>
    <dxf>
      <font>
        <color rgb="FFFFFFFF"/>
      </font>
      <fill>
        <patternFill patternType="solid">
          <fgColor indexed="64"/>
          <bgColor rgb="FFC00000"/>
        </patternFill>
      </fill>
    </dxf>
    <dxf>
      <font>
        <b/>
        <i val="0"/>
        <color rgb="FFBF8F00"/>
      </font>
      <fill>
        <patternFill patternType="solid">
          <fgColor indexed="64"/>
          <bgColor rgb="FFFFF2CC"/>
        </patternFill>
      </fill>
    </dxf>
    <dxf>
      <font>
        <color rgb="FFB30000"/>
      </font>
      <fill>
        <patternFill patternType="solid">
          <fgColor indexed="64"/>
          <bgColor rgb="FFFCE4E4"/>
        </patternFill>
      </fill>
    </dxf>
    <dxf>
      <font>
        <b/>
        <i val="0"/>
      </font>
      <fill>
        <patternFill patternType="solid">
          <fgColor indexed="64"/>
          <bgColor rgb="FFA9D08E"/>
        </patternFill>
      </fill>
    </dxf>
    <dxf>
      <font>
        <b/>
        <i val="0"/>
        <color rgb="FF2E5218"/>
      </font>
    </dxf>
    <dxf>
      <font>
        <b/>
        <i val="0"/>
        <color rgb="FF595959"/>
      </font>
    </dxf>
    <dxf>
      <font>
        <b/>
        <i val="0"/>
        <color rgb="FF7F6000"/>
      </font>
    </dxf>
    <dxf>
      <font>
        <b/>
        <i val="0"/>
        <color rgb="FF0B5394"/>
      </font>
    </dxf>
    <dxf>
      <font>
        <b/>
        <i val="0"/>
        <color rgb="FFB30000"/>
      </font>
    </dxf>
    <dxf>
      <font>
        <b/>
        <i val="0"/>
        <color rgb="FF7030A0"/>
      </font>
    </dxf>
    <dxf>
      <font>
        <b/>
        <i val="0"/>
        <color rgb="FF2E5218"/>
      </font>
    </dxf>
    <dxf>
      <font>
        <b/>
        <i val="0"/>
        <color rgb="FF595959"/>
      </font>
    </dxf>
    <dxf>
      <font>
        <b/>
        <i val="0"/>
        <color rgb="FF7F6000"/>
      </font>
    </dxf>
    <dxf>
      <font>
        <b/>
        <i val="0"/>
        <color rgb="FF0B5394"/>
      </font>
    </dxf>
    <dxf>
      <font>
        <b/>
        <i val="0"/>
        <color rgb="FFB30000"/>
      </font>
    </dxf>
    <dxf>
      <font>
        <b/>
        <i val="0"/>
        <color rgb="FF7030A0"/>
      </font>
    </dxf>
    <dxf>
      <fill>
        <patternFill patternType="solid">
          <fgColor indexed="64"/>
          <bgColor rgb="FFF2F7FC"/>
        </patternFill>
      </fill>
    </dxf>
    <dxf>
      <font>
        <color rgb="FFFFFFFF"/>
      </font>
      <fill>
        <patternFill patternType="solid">
          <fgColor indexed="64"/>
          <bgColor rgb="FFC00000"/>
        </patternFill>
      </fill>
    </dxf>
    <dxf>
      <font>
        <b/>
        <i val="0"/>
        <color rgb="FFBF8F00"/>
      </font>
      <fill>
        <patternFill patternType="solid">
          <fgColor indexed="64"/>
          <bgColor rgb="FFFFF2CC"/>
        </patternFill>
      </fill>
    </dxf>
    <dxf>
      <font>
        <color rgb="FFB30000"/>
      </font>
      <fill>
        <patternFill patternType="solid">
          <fgColor indexed="64"/>
          <bgColor rgb="FFFCE4E4"/>
        </patternFill>
      </fill>
    </dxf>
    <dxf>
      <font>
        <b/>
        <i val="0"/>
      </font>
      <fill>
        <patternFill patternType="solid">
          <fgColor indexed="64"/>
          <bgColor rgb="FFA9D08E"/>
        </patternFill>
      </fill>
    </dxf>
    <dxf>
      <font>
        <b/>
        <i val="0"/>
        <color rgb="FF2E5218"/>
      </font>
    </dxf>
    <dxf>
      <font>
        <b/>
        <i val="0"/>
        <color rgb="FF595959"/>
      </font>
    </dxf>
    <dxf>
      <font>
        <b/>
        <i val="0"/>
        <color rgb="FF7F6000"/>
      </font>
    </dxf>
    <dxf>
      <font>
        <b/>
        <i val="0"/>
        <color rgb="FF0B5394"/>
      </font>
    </dxf>
    <dxf>
      <font>
        <b/>
        <i val="0"/>
        <color rgb="FFB30000"/>
      </font>
    </dxf>
    <dxf>
      <font>
        <b/>
        <i val="0"/>
        <color rgb="FF7030A0"/>
      </font>
    </dxf>
    <dxf>
      <font>
        <b/>
        <i val="0"/>
        <color rgb="FF2E5218"/>
      </font>
    </dxf>
    <dxf>
      <font>
        <b/>
        <i val="0"/>
        <color rgb="FF595959"/>
      </font>
    </dxf>
    <dxf>
      <font>
        <b/>
        <i val="0"/>
        <color rgb="FF7F6000"/>
      </font>
    </dxf>
    <dxf>
      <font>
        <b/>
        <i val="0"/>
        <color rgb="FF0B5394"/>
      </font>
    </dxf>
    <dxf>
      <font>
        <b/>
        <i val="0"/>
        <color rgb="FFB30000"/>
      </font>
    </dxf>
    <dxf>
      <font>
        <b/>
        <i val="0"/>
        <color rgb="FF7030A0"/>
      </font>
    </dxf>
    <dxf>
      <fill>
        <patternFill patternType="solid">
          <fgColor indexed="64"/>
          <bgColor rgb="FFF2F7FC"/>
        </patternFill>
      </fill>
    </dxf>
    <dxf>
      <font>
        <color rgb="FFFFFFFF"/>
      </font>
      <fill>
        <patternFill patternType="solid">
          <fgColor indexed="64"/>
          <bgColor rgb="FFC00000"/>
        </patternFill>
      </fill>
    </dxf>
    <dxf>
      <font>
        <b/>
        <i val="0"/>
        <color rgb="FFBF8F00"/>
      </font>
      <fill>
        <patternFill patternType="solid">
          <fgColor indexed="64"/>
          <bgColor rgb="FFFFF2CC"/>
        </patternFill>
      </fill>
    </dxf>
    <dxf>
      <font>
        <color rgb="FFB30000"/>
      </font>
      <fill>
        <patternFill patternType="solid">
          <fgColor indexed="64"/>
          <bgColor rgb="FFFCE4E4"/>
        </patternFill>
      </fill>
    </dxf>
    <dxf>
      <font>
        <b/>
        <i val="0"/>
      </font>
      <fill>
        <patternFill patternType="solid">
          <fgColor indexed="64"/>
          <bgColor rgb="FFA9D08E"/>
        </patternFill>
      </fill>
    </dxf>
    <dxf>
      <font>
        <b/>
        <i val="0"/>
        <color rgb="FF2E5218"/>
      </font>
    </dxf>
    <dxf>
      <font>
        <b/>
        <i val="0"/>
        <color rgb="FF595959"/>
      </font>
    </dxf>
    <dxf>
      <font>
        <b/>
        <i val="0"/>
        <color rgb="FF7F6000"/>
      </font>
    </dxf>
    <dxf>
      <font>
        <b/>
        <i val="0"/>
        <color rgb="FF0B5394"/>
      </font>
    </dxf>
    <dxf>
      <font>
        <b/>
        <i val="0"/>
        <color rgb="FFB30000"/>
      </font>
    </dxf>
    <dxf>
      <font>
        <b/>
        <i val="0"/>
        <color rgb="FF7030A0"/>
      </font>
    </dxf>
    <dxf>
      <font>
        <b/>
        <i val="0"/>
        <color rgb="FF2E5218"/>
      </font>
    </dxf>
    <dxf>
      <font>
        <b/>
        <i val="0"/>
        <color rgb="FF595959"/>
      </font>
    </dxf>
    <dxf>
      <font>
        <b/>
        <i val="0"/>
        <color rgb="FF7F6000"/>
      </font>
    </dxf>
    <dxf>
      <font>
        <b/>
        <i val="0"/>
        <color rgb="FF0B5394"/>
      </font>
    </dxf>
    <dxf>
      <font>
        <b/>
        <i val="0"/>
        <color rgb="FFB30000"/>
      </font>
    </dxf>
    <dxf>
      <font>
        <b/>
        <i val="0"/>
        <color rgb="FF7030A0"/>
      </font>
    </dxf>
    <dxf>
      <fill>
        <patternFill patternType="solid">
          <fgColor indexed="64"/>
          <bgColor rgb="FFF2F7FC"/>
        </patternFill>
      </fill>
    </dxf>
    <dxf>
      <font>
        <color rgb="FFFFFFFF"/>
      </font>
      <fill>
        <patternFill patternType="solid">
          <fgColor indexed="64"/>
          <bgColor rgb="FFC00000"/>
        </patternFill>
      </fill>
    </dxf>
    <dxf>
      <font>
        <b/>
        <i val="0"/>
        <color rgb="FFBF8F00"/>
      </font>
      <fill>
        <patternFill patternType="solid">
          <fgColor indexed="64"/>
          <bgColor rgb="FFFFF2CC"/>
        </patternFill>
      </fill>
    </dxf>
    <dxf>
      <font>
        <color rgb="FFB30000"/>
      </font>
      <fill>
        <patternFill patternType="solid">
          <fgColor indexed="64"/>
          <bgColor rgb="FFFCE4E4"/>
        </patternFill>
      </fill>
    </dxf>
    <dxf>
      <font>
        <b/>
        <i val="0"/>
      </font>
      <fill>
        <patternFill patternType="solid">
          <fgColor indexed="64"/>
          <bgColor rgb="FFA9D08E"/>
        </patternFill>
      </fill>
    </dxf>
    <dxf>
      <font>
        <b/>
        <i val="0"/>
        <color rgb="FF2E5218"/>
      </font>
    </dxf>
    <dxf>
      <font>
        <b/>
        <i val="0"/>
        <color rgb="FF595959"/>
      </font>
    </dxf>
    <dxf>
      <font>
        <b/>
        <i val="0"/>
        <color rgb="FF7F6000"/>
      </font>
    </dxf>
    <dxf>
      <font>
        <b/>
        <i val="0"/>
        <color rgb="FF0B5394"/>
      </font>
    </dxf>
    <dxf>
      <font>
        <b/>
        <i val="0"/>
        <color rgb="FFB30000"/>
      </font>
    </dxf>
    <dxf>
      <font>
        <b/>
        <i val="0"/>
        <color rgb="FF7030A0"/>
      </font>
    </dxf>
    <dxf>
      <font>
        <b/>
        <i val="0"/>
        <color rgb="FF2E5218"/>
      </font>
    </dxf>
    <dxf>
      <font>
        <b/>
        <i val="0"/>
        <color rgb="FF595959"/>
      </font>
    </dxf>
    <dxf>
      <font>
        <b/>
        <i val="0"/>
        <color rgb="FF7F6000"/>
      </font>
    </dxf>
    <dxf>
      <font>
        <b/>
        <i val="0"/>
        <color rgb="FF0B5394"/>
      </font>
    </dxf>
    <dxf>
      <font>
        <b/>
        <i val="0"/>
        <color rgb="FFB30000"/>
      </font>
    </dxf>
    <dxf>
      <font>
        <b/>
        <i val="0"/>
        <color rgb="FF7030A0"/>
      </font>
    </dxf>
    <dxf>
      <fill>
        <patternFill patternType="solid">
          <fgColor indexed="64"/>
          <bgColor rgb="FFF2F7FC"/>
        </patternFill>
      </fill>
    </dxf>
    <dxf>
      <font>
        <color rgb="FFFFFFFF"/>
      </font>
      <fill>
        <patternFill patternType="solid">
          <fgColor indexed="64"/>
          <bgColor rgb="FFC00000"/>
        </patternFill>
      </fill>
    </dxf>
    <dxf>
      <font>
        <b/>
        <i val="0"/>
        <color rgb="FFBF8F00"/>
      </font>
      <fill>
        <patternFill patternType="solid">
          <fgColor indexed="64"/>
          <bgColor rgb="FFFFF2CC"/>
        </patternFill>
      </fill>
    </dxf>
    <dxf>
      <font>
        <color rgb="FFB30000"/>
      </font>
      <fill>
        <patternFill patternType="solid">
          <fgColor indexed="64"/>
          <bgColor rgb="FFFCE4E4"/>
        </patternFill>
      </fill>
    </dxf>
    <dxf>
      <font>
        <b/>
        <i val="0"/>
      </font>
      <fill>
        <patternFill patternType="solid">
          <fgColor indexed="64"/>
          <bgColor rgb="FFA9D08E"/>
        </patternFill>
      </fill>
    </dxf>
    <dxf>
      <font>
        <b/>
        <i val="0"/>
        <color rgb="FF2E5218"/>
      </font>
    </dxf>
    <dxf>
      <font>
        <b/>
        <i val="0"/>
        <color rgb="FF595959"/>
      </font>
    </dxf>
    <dxf>
      <font>
        <b/>
        <i val="0"/>
        <color rgb="FF7F6000"/>
      </font>
    </dxf>
    <dxf>
      <font>
        <b/>
        <i val="0"/>
        <color rgb="FF0B5394"/>
      </font>
    </dxf>
    <dxf>
      <font>
        <b/>
        <i val="0"/>
        <color rgb="FFB30000"/>
      </font>
    </dxf>
    <dxf>
      <font>
        <b/>
        <i val="0"/>
        <color rgb="FF7030A0"/>
      </font>
    </dxf>
    <dxf>
      <font>
        <b/>
        <i val="0"/>
        <color rgb="FF2E5218"/>
      </font>
    </dxf>
    <dxf>
      <font>
        <b/>
        <i val="0"/>
        <color rgb="FF595959"/>
      </font>
    </dxf>
    <dxf>
      <font>
        <b/>
        <i val="0"/>
        <color rgb="FF7F6000"/>
      </font>
    </dxf>
    <dxf>
      <font>
        <b/>
        <i val="0"/>
        <color rgb="FF0B5394"/>
      </font>
    </dxf>
    <dxf>
      <font>
        <b/>
        <i val="0"/>
        <color rgb="FFB30000"/>
      </font>
    </dxf>
    <dxf>
      <font>
        <b/>
        <i val="0"/>
        <color rgb="FF7030A0"/>
      </font>
    </dxf>
    <dxf>
      <fill>
        <patternFill patternType="solid">
          <fgColor indexed="64"/>
          <bgColor rgb="FFF2F7FC"/>
        </patternFill>
      </fill>
    </dxf>
    <dxf>
      <font>
        <color rgb="FFFFFFFF"/>
      </font>
      <fill>
        <patternFill patternType="solid">
          <fgColor indexed="64"/>
          <bgColor rgb="FFC00000"/>
        </patternFill>
      </fill>
    </dxf>
    <dxf>
      <font>
        <b/>
        <i val="0"/>
        <color rgb="FFBF8F00"/>
      </font>
      <fill>
        <patternFill patternType="solid">
          <fgColor indexed="64"/>
          <bgColor rgb="FFFFF2CC"/>
        </patternFill>
      </fill>
    </dxf>
    <dxf>
      <font>
        <color rgb="FFB30000"/>
      </font>
      <fill>
        <patternFill patternType="solid">
          <fgColor indexed="64"/>
          <bgColor rgb="FFFCE4E4"/>
        </patternFill>
      </fill>
    </dxf>
    <dxf>
      <font>
        <b/>
        <i val="0"/>
      </font>
      <fill>
        <patternFill patternType="solid">
          <fgColor indexed="64"/>
          <bgColor rgb="FFA9D08E"/>
        </patternFill>
      </fill>
    </dxf>
    <dxf>
      <font>
        <b/>
        <i val="0"/>
        <color rgb="FF2E5218"/>
      </font>
    </dxf>
    <dxf>
      <font>
        <b/>
        <i val="0"/>
        <color rgb="FF595959"/>
      </font>
    </dxf>
    <dxf>
      <font>
        <b/>
        <i val="0"/>
        <color rgb="FF7F6000"/>
      </font>
    </dxf>
    <dxf>
      <font>
        <b/>
        <i val="0"/>
        <color rgb="FF0B5394"/>
      </font>
    </dxf>
    <dxf>
      <font>
        <b/>
        <i val="0"/>
        <color rgb="FFB30000"/>
      </font>
    </dxf>
    <dxf>
      <font>
        <b/>
        <i val="0"/>
        <color rgb="FF7030A0"/>
      </font>
    </dxf>
    <dxf>
      <font>
        <b/>
        <i val="0"/>
        <color rgb="FF2E5218"/>
      </font>
    </dxf>
    <dxf>
      <font>
        <b/>
        <i val="0"/>
        <color rgb="FF595959"/>
      </font>
    </dxf>
    <dxf>
      <font>
        <b/>
        <i val="0"/>
        <color rgb="FF7F6000"/>
      </font>
    </dxf>
    <dxf>
      <font>
        <b/>
        <i val="0"/>
        <color rgb="FF0B5394"/>
      </font>
    </dxf>
    <dxf>
      <font>
        <b/>
        <i val="0"/>
        <color rgb="FFB30000"/>
      </font>
    </dxf>
    <dxf>
      <font>
        <b/>
        <i val="0"/>
        <color rgb="FF7030A0"/>
      </font>
    </dxf>
    <dxf>
      <fill>
        <patternFill patternType="solid">
          <fgColor indexed="64"/>
          <bgColor rgb="FFF2F7FC"/>
        </patternFill>
      </fill>
    </dxf>
    <dxf>
      <font>
        <color rgb="FFFFFFFF"/>
      </font>
      <fill>
        <patternFill patternType="solid">
          <fgColor indexed="64"/>
          <bgColor rgb="FFC00000"/>
        </patternFill>
      </fill>
    </dxf>
    <dxf>
      <font>
        <b/>
        <i val="0"/>
        <color rgb="FFBF8F00"/>
      </font>
      <fill>
        <patternFill patternType="solid">
          <fgColor indexed="64"/>
          <bgColor rgb="FFFFF2CC"/>
        </patternFill>
      </fill>
    </dxf>
    <dxf>
      <font>
        <color rgb="FFB30000"/>
      </font>
      <fill>
        <patternFill patternType="solid">
          <fgColor indexed="64"/>
          <bgColor rgb="FFFCE4E4"/>
        </patternFill>
      </fill>
    </dxf>
    <dxf>
      <font>
        <b/>
        <i val="0"/>
      </font>
      <fill>
        <patternFill patternType="solid">
          <fgColor indexed="64"/>
          <bgColor rgb="FFA9D08E"/>
        </patternFill>
      </fill>
    </dxf>
    <dxf>
      <font>
        <b/>
        <i val="0"/>
        <color rgb="FF2E5218"/>
      </font>
    </dxf>
    <dxf>
      <font>
        <b/>
        <i val="0"/>
        <color rgb="FF595959"/>
      </font>
    </dxf>
    <dxf>
      <font>
        <b/>
        <i val="0"/>
        <color rgb="FF7F6000"/>
      </font>
    </dxf>
    <dxf>
      <font>
        <b/>
        <i val="0"/>
        <color rgb="FF0B5394"/>
      </font>
    </dxf>
    <dxf>
      <font>
        <b/>
        <i val="0"/>
        <color rgb="FFB30000"/>
      </font>
    </dxf>
    <dxf>
      <font>
        <b/>
        <i val="0"/>
        <color rgb="FF7030A0"/>
      </font>
    </dxf>
    <dxf>
      <font>
        <b/>
        <i val="0"/>
        <color rgb="FF2E5218"/>
      </font>
    </dxf>
    <dxf>
      <font>
        <b/>
        <i val="0"/>
        <color rgb="FF595959"/>
      </font>
    </dxf>
    <dxf>
      <font>
        <b/>
        <i val="0"/>
        <color rgb="FF7F6000"/>
      </font>
    </dxf>
    <dxf>
      <font>
        <b/>
        <i val="0"/>
        <color rgb="FF0B5394"/>
      </font>
    </dxf>
    <dxf>
      <font>
        <b/>
        <i val="0"/>
        <color rgb="FFB30000"/>
      </font>
    </dxf>
    <dxf>
      <font>
        <b/>
        <i val="0"/>
        <color rgb="FF7030A0"/>
      </font>
    </dxf>
    <dxf>
      <fill>
        <patternFill patternType="solid">
          <fgColor indexed="64"/>
          <bgColor rgb="FFF2F7FC"/>
        </patternFill>
      </fill>
    </dxf>
    <dxf>
      <font>
        <color rgb="FFFFFFFF"/>
      </font>
      <fill>
        <patternFill patternType="solid">
          <fgColor indexed="64"/>
          <bgColor rgb="FFC00000"/>
        </patternFill>
      </fill>
    </dxf>
    <dxf>
      <font>
        <b/>
        <i val="0"/>
        <color rgb="FFBF8F00"/>
      </font>
      <fill>
        <patternFill patternType="solid">
          <fgColor indexed="64"/>
          <bgColor rgb="FFFFF2CC"/>
        </patternFill>
      </fill>
    </dxf>
    <dxf>
      <font>
        <color rgb="FFB30000"/>
      </font>
      <fill>
        <patternFill patternType="solid">
          <fgColor indexed="64"/>
          <bgColor rgb="FFFCE4E4"/>
        </patternFill>
      </fill>
    </dxf>
    <dxf>
      <font>
        <b/>
        <i val="0"/>
      </font>
      <fill>
        <patternFill patternType="solid">
          <fgColor indexed="64"/>
          <bgColor rgb="FFA9D08E"/>
        </patternFill>
      </fill>
    </dxf>
    <dxf>
      <font>
        <b/>
        <i val="0"/>
        <color rgb="FF2E5218"/>
      </font>
    </dxf>
    <dxf>
      <font>
        <b/>
        <i val="0"/>
        <color rgb="FF595959"/>
      </font>
    </dxf>
    <dxf>
      <font>
        <b/>
        <i val="0"/>
        <color rgb="FF7F6000"/>
      </font>
    </dxf>
    <dxf>
      <font>
        <b/>
        <i val="0"/>
        <color rgb="FF0B5394"/>
      </font>
    </dxf>
    <dxf>
      <font>
        <b/>
        <i val="0"/>
        <color rgb="FFB30000"/>
      </font>
    </dxf>
    <dxf>
      <font>
        <b/>
        <i val="0"/>
        <color rgb="FF7030A0"/>
      </font>
    </dxf>
    <dxf>
      <font>
        <b/>
        <i val="0"/>
        <color rgb="FF2E5218"/>
      </font>
    </dxf>
    <dxf>
      <font>
        <b/>
        <i val="0"/>
        <color rgb="FF595959"/>
      </font>
    </dxf>
    <dxf>
      <font>
        <b/>
        <i val="0"/>
        <color rgb="FF7F6000"/>
      </font>
    </dxf>
    <dxf>
      <font>
        <b/>
        <i val="0"/>
        <color rgb="FF0B5394"/>
      </font>
    </dxf>
    <dxf>
      <font>
        <b/>
        <i val="0"/>
        <color rgb="FFB30000"/>
      </font>
    </dxf>
    <dxf>
      <font>
        <b/>
        <i val="0"/>
        <color rgb="FF7030A0"/>
      </font>
    </dxf>
    <dxf>
      <fill>
        <patternFill patternType="solid">
          <fgColor indexed="64"/>
          <bgColor rgb="FFF2F7FC"/>
        </patternFill>
      </fill>
    </dxf>
    <dxf>
      <font>
        <color rgb="FFFFFFFF"/>
      </font>
      <fill>
        <patternFill patternType="solid">
          <fgColor indexed="64"/>
          <bgColor rgb="FFC00000"/>
        </patternFill>
      </fill>
    </dxf>
    <dxf>
      <font>
        <b/>
        <i val="0"/>
        <color rgb="FFBF8F00"/>
      </font>
      <fill>
        <patternFill patternType="solid">
          <fgColor indexed="64"/>
          <bgColor rgb="FFFFF2CC"/>
        </patternFill>
      </fill>
    </dxf>
    <dxf>
      <font>
        <color rgb="FFB30000"/>
      </font>
      <fill>
        <patternFill patternType="solid">
          <fgColor indexed="64"/>
          <bgColor rgb="FFFCE4E4"/>
        </patternFill>
      </fill>
    </dxf>
    <dxf>
      <font>
        <b/>
        <i val="0"/>
      </font>
      <fill>
        <patternFill patternType="solid">
          <fgColor indexed="64"/>
          <bgColor rgb="FFA9D08E"/>
        </patternFill>
      </fill>
    </dxf>
    <dxf>
      <font>
        <b/>
        <i val="0"/>
        <color rgb="FF2E5218"/>
      </font>
    </dxf>
    <dxf>
      <font>
        <b/>
        <i val="0"/>
        <color rgb="FF595959"/>
      </font>
    </dxf>
    <dxf>
      <font>
        <b/>
        <i val="0"/>
        <color rgb="FF7F6000"/>
      </font>
    </dxf>
    <dxf>
      <font>
        <b/>
        <i val="0"/>
        <color rgb="FF0B5394"/>
      </font>
    </dxf>
    <dxf>
      <font>
        <b/>
        <i val="0"/>
        <color rgb="FFB30000"/>
      </font>
    </dxf>
    <dxf>
      <font>
        <b/>
        <i val="0"/>
        <color rgb="FF7030A0"/>
      </font>
    </dxf>
    <dxf>
      <font>
        <b/>
        <i val="0"/>
        <color rgb="FF2E5218"/>
      </font>
    </dxf>
    <dxf>
      <font>
        <b/>
        <i val="0"/>
        <color rgb="FF595959"/>
      </font>
    </dxf>
    <dxf>
      <font>
        <b/>
        <i val="0"/>
        <color rgb="FF7F6000"/>
      </font>
    </dxf>
    <dxf>
      <font>
        <b/>
        <i val="0"/>
        <color rgb="FF0B5394"/>
      </font>
    </dxf>
    <dxf>
      <font>
        <b/>
        <i val="0"/>
        <color rgb="FFB30000"/>
      </font>
    </dxf>
    <dxf>
      <font>
        <b/>
        <i val="0"/>
        <color rgb="FF7030A0"/>
      </font>
    </dxf>
    <dxf>
      <fill>
        <patternFill patternType="solid">
          <fgColor indexed="64"/>
          <bgColor rgb="FFF2F7FC"/>
        </patternFill>
      </fill>
    </dxf>
    <dxf>
      <font>
        <color rgb="FF7F7F7F"/>
      </font>
      <fill>
        <patternFill patternType="solid">
          <fgColor indexed="64"/>
          <bgColor rgb="FFF2F2F2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styles" Target="styles.xml"/><Relationship Id="rId3" Type="http://schemas.openxmlformats.org/officeDocument/2006/relationships/worksheet" Target="worksheets/sheet3.xml"/><Relationship Id="rId21" Type="http://schemas.microsoft.com/office/2017/10/relationships/person" Target="persons/person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theme" Target="theme/theme1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sheetMetadata" Target="metadata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10" Type="http://schemas.openxmlformats.org/officeDocument/2006/relationships/worksheet" Target="worksheets/sheet10.xml"/><Relationship Id="rId19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calcChain" Target="calcChain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ebextensions/_rels/taskpanes.xml.rels><?xml version="1.0" encoding="UTF-8" standalone="yes"?>
<Relationships xmlns="http://schemas.openxmlformats.org/package/2006/relationships"><Relationship Id="rId1" Type="http://schemas.microsoft.com/office/2011/relationships/webextension" Target="webextension1.xml"/></Relationships>
</file>

<file path=xl/webextensions/taskpanes.xml><?xml version="1.0" encoding="utf-8"?>
<wetp:taskpanes xmlns:wetp="http://schemas.microsoft.com/office/webextensions/taskpanes/2010/11">
  <wetp:taskpane dockstate="right" visibility="0" width="350" row="0">
    <wetp:webextensionref xmlns:r="http://schemas.openxmlformats.org/officeDocument/2006/relationships" r:id="rId1"/>
  </wetp:taskpane>
</wetp:taskpanes>
</file>

<file path=xl/webextensions/webextension1.xml><?xml version="1.0" encoding="utf-8"?>
<we:webextension xmlns:we="http://schemas.microsoft.com/office/webextensions/webextension/2010/11" id="{39D1A33C-4FA4-4EFF-90CA-494D5B8F47C6}">
  <we:reference id="wa200010725" version="1.0.0.1" store="en-US" storeType="OMEX"/>
  <we:alternateReferences>
    <we:reference id="WA200010725" version="1.0.0.1" store="" storeType="OMEX"/>
  </we:alternateReferences>
  <we:properties>
    <we:property name="claude.fileId" value="&quot;23ea0abe-e752-42bc-8860-c731fcbfb6bc&quot;"/>
  </we:properties>
  <we:bindings/>
  <we:snapshot xmlns:r="http://schemas.openxmlformats.org/officeDocument/2006/relationships"/>
</we:webextension>
</file>

<file path=xl/worksheets/_rels/sheet1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F41A87C-28E8-4228-8B7A-6D2451CC1B74}">
  <dimension ref="A1:C22"/>
  <sheetViews>
    <sheetView showGridLines="0" workbookViewId="0">
      <pane ySplit="2" topLeftCell="A3" activePane="bottomLeft" state="frozen"/>
      <selection pane="bottomLeft" activeCell="H17" sqref="H17"/>
    </sheetView>
  </sheetViews>
  <sheetFormatPr defaultRowHeight="15" x14ac:dyDescent="0.25"/>
  <cols>
    <col min="1" max="1" width="5.7109375" customWidth="1"/>
    <col min="2" max="2" width="81.85546875" customWidth="1"/>
    <col min="3" max="3" width="62.85546875" customWidth="1"/>
  </cols>
  <sheetData>
    <row r="1" spans="1:3" ht="27.95" customHeight="1" x14ac:dyDescent="0.25">
      <c r="A1" s="60" t="s">
        <v>258</v>
      </c>
      <c r="B1" s="61"/>
      <c r="C1" s="62"/>
    </row>
    <row r="2" spans="1:3" x14ac:dyDescent="0.25">
      <c r="A2" s="63" t="s">
        <v>259</v>
      </c>
      <c r="B2" s="64" t="s">
        <v>260</v>
      </c>
      <c r="C2" s="65" t="s">
        <v>261</v>
      </c>
    </row>
    <row r="3" spans="1:3" x14ac:dyDescent="0.25">
      <c r="A3" s="66" t="s">
        <v>262</v>
      </c>
      <c r="B3" s="67"/>
      <c r="C3" s="68"/>
    </row>
    <row r="4" spans="1:3" x14ac:dyDescent="0.25">
      <c r="A4" s="30">
        <v>1</v>
      </c>
      <c r="B4" s="28" t="s">
        <v>267</v>
      </c>
      <c r="C4" s="32"/>
    </row>
    <row r="5" spans="1:3" ht="30" x14ac:dyDescent="0.25">
      <c r="A5" s="30">
        <v>2</v>
      </c>
      <c r="B5" s="28" t="s">
        <v>268</v>
      </c>
      <c r="C5" s="32"/>
    </row>
    <row r="6" spans="1:3" x14ac:dyDescent="0.25">
      <c r="A6" s="30">
        <v>3</v>
      </c>
      <c r="B6" s="28" t="s">
        <v>269</v>
      </c>
      <c r="C6" s="32"/>
    </row>
    <row r="7" spans="1:3" x14ac:dyDescent="0.25">
      <c r="A7" s="66" t="s">
        <v>263</v>
      </c>
      <c r="B7" s="67"/>
      <c r="C7" s="68"/>
    </row>
    <row r="8" spans="1:3" x14ac:dyDescent="0.25">
      <c r="A8" s="30">
        <v>4</v>
      </c>
      <c r="B8" s="28" t="s">
        <v>270</v>
      </c>
      <c r="C8" s="32"/>
    </row>
    <row r="9" spans="1:3" ht="30" x14ac:dyDescent="0.25">
      <c r="A9" s="30">
        <v>5</v>
      </c>
      <c r="B9" s="28" t="s">
        <v>271</v>
      </c>
      <c r="C9" s="32" t="s">
        <v>272</v>
      </c>
    </row>
    <row r="10" spans="1:3" x14ac:dyDescent="0.25">
      <c r="A10" s="30">
        <v>6</v>
      </c>
      <c r="B10" s="28" t="s">
        <v>273</v>
      </c>
      <c r="C10" s="32"/>
    </row>
    <row r="11" spans="1:3" x14ac:dyDescent="0.25">
      <c r="A11" s="66" t="s">
        <v>264</v>
      </c>
      <c r="B11" s="67"/>
      <c r="C11" s="68"/>
    </row>
    <row r="12" spans="1:3" ht="30" x14ac:dyDescent="0.25">
      <c r="A12" s="30">
        <v>7</v>
      </c>
      <c r="B12" s="28" t="s">
        <v>274</v>
      </c>
      <c r="C12" s="32" t="s">
        <v>275</v>
      </c>
    </row>
    <row r="13" spans="1:3" ht="30" x14ac:dyDescent="0.25">
      <c r="A13" s="30">
        <v>8</v>
      </c>
      <c r="B13" s="28" t="s">
        <v>276</v>
      </c>
      <c r="C13" s="32" t="s">
        <v>277</v>
      </c>
    </row>
    <row r="14" spans="1:3" x14ac:dyDescent="0.25">
      <c r="A14" s="30">
        <v>9</v>
      </c>
      <c r="B14" s="28" t="s">
        <v>278</v>
      </c>
      <c r="C14" s="32"/>
    </row>
    <row r="15" spans="1:3" ht="30" x14ac:dyDescent="0.25">
      <c r="A15" s="30">
        <v>10</v>
      </c>
      <c r="B15" s="28" t="s">
        <v>279</v>
      </c>
      <c r="C15" s="32" t="s">
        <v>280</v>
      </c>
    </row>
    <row r="16" spans="1:3" x14ac:dyDescent="0.25">
      <c r="A16" s="66" t="s">
        <v>265</v>
      </c>
      <c r="B16" s="67"/>
      <c r="C16" s="68"/>
    </row>
    <row r="17" spans="1:3" x14ac:dyDescent="0.25">
      <c r="A17" s="30">
        <v>11</v>
      </c>
      <c r="B17" s="28" t="s">
        <v>281</v>
      </c>
      <c r="C17" s="32"/>
    </row>
    <row r="18" spans="1:3" ht="30" x14ac:dyDescent="0.25">
      <c r="A18" s="30">
        <v>12</v>
      </c>
      <c r="B18" s="28" t="s">
        <v>282</v>
      </c>
      <c r="C18" s="32"/>
    </row>
    <row r="19" spans="1:3" x14ac:dyDescent="0.25">
      <c r="A19" s="30">
        <v>13</v>
      </c>
      <c r="B19" s="28" t="s">
        <v>283</v>
      </c>
      <c r="C19" s="32"/>
    </row>
    <row r="20" spans="1:3" x14ac:dyDescent="0.25">
      <c r="A20" s="30">
        <v>14</v>
      </c>
      <c r="B20" s="28" t="s">
        <v>284</v>
      </c>
      <c r="C20" s="32"/>
    </row>
    <row r="21" spans="1:3" x14ac:dyDescent="0.25">
      <c r="A21" s="66" t="s">
        <v>266</v>
      </c>
      <c r="B21" s="67"/>
      <c r="C21" s="68"/>
    </row>
    <row r="22" spans="1:3" ht="48" customHeight="1" x14ac:dyDescent="0.25">
      <c r="A22" s="31"/>
      <c r="B22" s="29" t="s">
        <v>285</v>
      </c>
      <c r="C22" s="33"/>
    </row>
  </sheetData>
  <mergeCells count="7">
    <mergeCell ref="B22:C22"/>
    <mergeCell ref="A1:C1"/>
    <mergeCell ref="A3:C3"/>
    <mergeCell ref="A7:C7"/>
    <mergeCell ref="A11:C11"/>
    <mergeCell ref="A16:C16"/>
    <mergeCell ref="A21:C21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52D2222-9696-4129-B2FE-484C170341C8}">
  <dimension ref="A1:C81"/>
  <sheetViews>
    <sheetView showGridLines="0" workbookViewId="0">
      <pane ySplit="1" topLeftCell="A2" activePane="bottomLeft" state="frozen"/>
      <selection pane="bottomLeft" activeCell="B11" sqref="B11:C11"/>
    </sheetView>
  </sheetViews>
  <sheetFormatPr defaultRowHeight="15" x14ac:dyDescent="0.25"/>
  <cols>
    <col min="1" max="2" width="49.5703125" customWidth="1"/>
    <col min="3" max="3" width="26.7109375" customWidth="1"/>
  </cols>
  <sheetData>
    <row r="1" spans="1:3" ht="27.95" customHeight="1" x14ac:dyDescent="0.25">
      <c r="A1" s="69" t="s">
        <v>286</v>
      </c>
      <c r="B1" s="70"/>
      <c r="C1" s="71"/>
    </row>
    <row r="2" spans="1:3" x14ac:dyDescent="0.25">
      <c r="A2" s="72" t="s">
        <v>287</v>
      </c>
      <c r="B2" s="73"/>
      <c r="C2" s="74"/>
    </row>
    <row r="3" spans="1:3" x14ac:dyDescent="0.25">
      <c r="A3" s="40" t="s">
        <v>288</v>
      </c>
      <c r="B3" s="34" t="s">
        <v>289</v>
      </c>
      <c r="C3" s="45"/>
    </row>
    <row r="4" spans="1:3" x14ac:dyDescent="0.25">
      <c r="A4" s="40" t="s">
        <v>290</v>
      </c>
      <c r="B4" s="34" t="s">
        <v>352</v>
      </c>
      <c r="C4" s="45"/>
    </row>
    <row r="5" spans="1:3" x14ac:dyDescent="0.25">
      <c r="A5" s="40" t="s">
        <v>291</v>
      </c>
      <c r="B5" s="34" t="s">
        <v>292</v>
      </c>
      <c r="C5" s="45"/>
    </row>
    <row r="6" spans="1:3" x14ac:dyDescent="0.25">
      <c r="A6" s="40" t="s">
        <v>293</v>
      </c>
      <c r="B6" s="34" t="s">
        <v>353</v>
      </c>
      <c r="C6" s="45"/>
    </row>
    <row r="7" spans="1:3" x14ac:dyDescent="0.25">
      <c r="A7" s="40" t="s">
        <v>295</v>
      </c>
      <c r="B7" s="34" t="s">
        <v>296</v>
      </c>
      <c r="C7" s="45"/>
    </row>
    <row r="8" spans="1:3" x14ac:dyDescent="0.25">
      <c r="A8" s="40" t="s">
        <v>297</v>
      </c>
      <c r="B8" s="34" t="s">
        <v>298</v>
      </c>
      <c r="C8" s="45"/>
    </row>
    <row r="9" spans="1:3" x14ac:dyDescent="0.25">
      <c r="A9" s="40" t="s">
        <v>299</v>
      </c>
      <c r="B9" s="34" t="s">
        <v>300</v>
      </c>
      <c r="C9" s="45"/>
    </row>
    <row r="10" spans="1:3" x14ac:dyDescent="0.25">
      <c r="A10" s="40" t="s">
        <v>301</v>
      </c>
      <c r="B10" s="34" t="s">
        <v>294</v>
      </c>
      <c r="C10" s="45"/>
    </row>
    <row r="11" spans="1:3" x14ac:dyDescent="0.25">
      <c r="A11" s="40" t="s">
        <v>302</v>
      </c>
      <c r="B11" s="34" t="s">
        <v>303</v>
      </c>
      <c r="C11" s="45"/>
    </row>
    <row r="12" spans="1:3" x14ac:dyDescent="0.25">
      <c r="A12" s="40" t="s">
        <v>304</v>
      </c>
      <c r="B12" s="34" t="s">
        <v>305</v>
      </c>
      <c r="C12" s="45"/>
    </row>
    <row r="13" spans="1:3" x14ac:dyDescent="0.25">
      <c r="A13" s="40" t="s">
        <v>306</v>
      </c>
      <c r="B13" s="34" t="s">
        <v>294</v>
      </c>
      <c r="C13" s="45"/>
    </row>
    <row r="14" spans="1:3" x14ac:dyDescent="0.25">
      <c r="A14" s="40" t="s">
        <v>307</v>
      </c>
      <c r="B14" s="34" t="s">
        <v>308</v>
      </c>
      <c r="C14" s="45"/>
    </row>
    <row r="15" spans="1:3" x14ac:dyDescent="0.25">
      <c r="A15" s="41"/>
      <c r="B15" s="35"/>
      <c r="C15" s="46"/>
    </row>
    <row r="16" spans="1:3" x14ac:dyDescent="0.25">
      <c r="A16" s="72" t="s">
        <v>309</v>
      </c>
      <c r="B16" s="73"/>
      <c r="C16" s="74"/>
    </row>
    <row r="17" spans="1:3" x14ac:dyDescent="0.25">
      <c r="A17" s="77" t="s">
        <v>310</v>
      </c>
      <c r="B17" s="78" t="s">
        <v>311</v>
      </c>
      <c r="C17" s="58" t="s">
        <v>312</v>
      </c>
    </row>
    <row r="18" spans="1:3" x14ac:dyDescent="0.25">
      <c r="A18" s="41" t="s">
        <v>313</v>
      </c>
      <c r="B18" s="36" t="s">
        <v>314</v>
      </c>
      <c r="C18" s="47"/>
    </row>
    <row r="19" spans="1:3" x14ac:dyDescent="0.25">
      <c r="A19" s="51" t="s">
        <v>315</v>
      </c>
      <c r="B19" s="52">
        <v>6</v>
      </c>
      <c r="C19" s="53">
        <v>4</v>
      </c>
    </row>
    <row r="20" spans="1:3" x14ac:dyDescent="0.25">
      <c r="A20" s="51" t="s">
        <v>316</v>
      </c>
      <c r="B20" s="52">
        <v>-2</v>
      </c>
      <c r="C20" s="53">
        <v>-1</v>
      </c>
    </row>
    <row r="21" spans="1:3" x14ac:dyDescent="0.25">
      <c r="A21" s="41" t="s">
        <v>317</v>
      </c>
      <c r="B21" s="36" t="s">
        <v>318</v>
      </c>
      <c r="C21" s="47"/>
    </row>
    <row r="22" spans="1:3" x14ac:dyDescent="0.25">
      <c r="A22" s="41" t="s">
        <v>319</v>
      </c>
      <c r="B22" s="36">
        <v>6</v>
      </c>
      <c r="C22" s="47"/>
    </row>
    <row r="23" spans="1:3" x14ac:dyDescent="0.25">
      <c r="A23" s="51" t="s">
        <v>320</v>
      </c>
      <c r="B23" s="52">
        <v>1</v>
      </c>
      <c r="C23" s="53">
        <v>0.5</v>
      </c>
    </row>
    <row r="24" spans="1:3" x14ac:dyDescent="0.25">
      <c r="A24" s="41" t="s">
        <v>321</v>
      </c>
      <c r="B24" s="36" t="s">
        <v>318</v>
      </c>
      <c r="C24" s="47"/>
    </row>
    <row r="25" spans="1:3" x14ac:dyDescent="0.25">
      <c r="A25" s="41" t="s">
        <v>322</v>
      </c>
      <c r="B25" s="36">
        <v>6</v>
      </c>
      <c r="C25" s="47"/>
    </row>
    <row r="26" spans="1:3" x14ac:dyDescent="0.25">
      <c r="A26" s="41" t="s">
        <v>323</v>
      </c>
      <c r="B26" s="36">
        <v>6</v>
      </c>
      <c r="C26" s="47"/>
    </row>
    <row r="27" spans="1:3" x14ac:dyDescent="0.25">
      <c r="A27" s="41" t="s">
        <v>324</v>
      </c>
      <c r="B27" s="36">
        <v>2</v>
      </c>
      <c r="C27" s="47"/>
    </row>
    <row r="28" spans="1:3" x14ac:dyDescent="0.25">
      <c r="A28" s="41" t="s">
        <v>325</v>
      </c>
      <c r="B28" s="36">
        <v>-2</v>
      </c>
      <c r="C28" s="47"/>
    </row>
    <row r="29" spans="1:3" x14ac:dyDescent="0.25">
      <c r="A29" s="41" t="s">
        <v>326</v>
      </c>
      <c r="B29" s="36">
        <v>6</v>
      </c>
      <c r="C29" s="47"/>
    </row>
    <row r="30" spans="1:3" x14ac:dyDescent="0.25">
      <c r="A30" s="41"/>
      <c r="B30" s="36"/>
      <c r="C30" s="47"/>
    </row>
    <row r="31" spans="1:3" x14ac:dyDescent="0.25">
      <c r="A31" s="72" t="s">
        <v>327</v>
      </c>
      <c r="B31" s="75"/>
      <c r="C31" s="76"/>
    </row>
    <row r="32" spans="1:3" x14ac:dyDescent="0.25">
      <c r="A32" s="77" t="s">
        <v>310</v>
      </c>
      <c r="B32" s="78" t="s">
        <v>311</v>
      </c>
      <c r="C32" s="58" t="s">
        <v>312</v>
      </c>
    </row>
    <row r="33" spans="1:3" x14ac:dyDescent="0.25">
      <c r="A33" s="41" t="s">
        <v>328</v>
      </c>
      <c r="B33" s="36">
        <v>3</v>
      </c>
      <c r="C33" s="47"/>
    </row>
    <row r="34" spans="1:3" x14ac:dyDescent="0.25">
      <c r="A34" s="41" t="s">
        <v>329</v>
      </c>
      <c r="B34" s="36">
        <v>3</v>
      </c>
      <c r="C34" s="47"/>
    </row>
    <row r="35" spans="1:3" x14ac:dyDescent="0.25">
      <c r="A35" s="41" t="s">
        <v>330</v>
      </c>
      <c r="B35" s="36">
        <v>3</v>
      </c>
      <c r="C35" s="47"/>
    </row>
    <row r="36" spans="1:3" x14ac:dyDescent="0.25">
      <c r="A36" s="41" t="s">
        <v>331</v>
      </c>
      <c r="B36" s="36">
        <v>4</v>
      </c>
      <c r="C36" s="47"/>
    </row>
    <row r="37" spans="1:3" x14ac:dyDescent="0.25">
      <c r="A37" s="41" t="s">
        <v>332</v>
      </c>
      <c r="B37" s="36">
        <v>5</v>
      </c>
      <c r="C37" s="47"/>
    </row>
    <row r="38" spans="1:3" x14ac:dyDescent="0.25">
      <c r="A38" s="41" t="s">
        <v>333</v>
      </c>
      <c r="B38" s="36">
        <v>1</v>
      </c>
      <c r="C38" s="47"/>
    </row>
    <row r="39" spans="1:3" x14ac:dyDescent="0.25">
      <c r="A39" s="41"/>
      <c r="B39" s="36"/>
      <c r="C39" s="47"/>
    </row>
    <row r="40" spans="1:3" x14ac:dyDescent="0.25">
      <c r="A40" s="72" t="s">
        <v>334</v>
      </c>
      <c r="B40" s="75"/>
      <c r="C40" s="76"/>
    </row>
    <row r="41" spans="1:3" x14ac:dyDescent="0.25">
      <c r="A41" s="77" t="s">
        <v>310</v>
      </c>
      <c r="B41" s="78" t="s">
        <v>311</v>
      </c>
      <c r="C41" s="58" t="s">
        <v>312</v>
      </c>
    </row>
    <row r="42" spans="1:3" x14ac:dyDescent="0.25">
      <c r="A42" s="41" t="s">
        <v>335</v>
      </c>
      <c r="B42" s="36">
        <v>1</v>
      </c>
      <c r="C42" s="47"/>
    </row>
    <row r="43" spans="1:3" x14ac:dyDescent="0.25">
      <c r="A43" s="41" t="s">
        <v>336</v>
      </c>
      <c r="B43" s="36">
        <v>2</v>
      </c>
      <c r="C43" s="47"/>
    </row>
    <row r="44" spans="1:3" x14ac:dyDescent="0.25">
      <c r="A44" s="41" t="s">
        <v>337</v>
      </c>
      <c r="B44" s="36">
        <v>2</v>
      </c>
      <c r="C44" s="47"/>
    </row>
    <row r="45" spans="1:3" x14ac:dyDescent="0.25">
      <c r="A45" s="41" t="s">
        <v>338</v>
      </c>
      <c r="B45" s="36">
        <v>6</v>
      </c>
      <c r="C45" s="47"/>
    </row>
    <row r="46" spans="1:3" x14ac:dyDescent="0.25">
      <c r="A46" s="41" t="s">
        <v>339</v>
      </c>
      <c r="B46" s="36">
        <v>2</v>
      </c>
      <c r="C46" s="47"/>
    </row>
    <row r="47" spans="1:3" x14ac:dyDescent="0.25">
      <c r="A47" s="41" t="s">
        <v>340</v>
      </c>
      <c r="B47" s="36">
        <v>2</v>
      </c>
      <c r="C47" s="47"/>
    </row>
    <row r="48" spans="1:3" x14ac:dyDescent="0.25">
      <c r="A48" s="41" t="s">
        <v>341</v>
      </c>
      <c r="B48" s="36">
        <v>6</v>
      </c>
      <c r="C48" s="47"/>
    </row>
    <row r="49" spans="1:3" x14ac:dyDescent="0.25">
      <c r="A49" s="41" t="s">
        <v>342</v>
      </c>
      <c r="B49" s="36">
        <v>10</v>
      </c>
      <c r="C49" s="47"/>
    </row>
    <row r="50" spans="1:3" x14ac:dyDescent="0.25">
      <c r="A50" s="41" t="s">
        <v>343</v>
      </c>
      <c r="B50" s="36">
        <v>7</v>
      </c>
      <c r="C50" s="47"/>
    </row>
    <row r="51" spans="1:3" x14ac:dyDescent="0.25">
      <c r="A51" s="41" t="s">
        <v>344</v>
      </c>
      <c r="B51" s="36">
        <v>4</v>
      </c>
      <c r="C51" s="47"/>
    </row>
    <row r="52" spans="1:3" x14ac:dyDescent="0.25">
      <c r="A52" s="41" t="s">
        <v>345</v>
      </c>
      <c r="B52" s="36">
        <v>1</v>
      </c>
      <c r="C52" s="47"/>
    </row>
    <row r="53" spans="1:3" x14ac:dyDescent="0.25">
      <c r="A53" s="41" t="s">
        <v>346</v>
      </c>
      <c r="B53" s="36">
        <v>0</v>
      </c>
      <c r="C53" s="47"/>
    </row>
    <row r="54" spans="1:3" x14ac:dyDescent="0.25">
      <c r="A54" s="41" t="s">
        <v>347</v>
      </c>
      <c r="B54" s="36">
        <v>-1</v>
      </c>
      <c r="C54" s="47"/>
    </row>
    <row r="55" spans="1:3" x14ac:dyDescent="0.25">
      <c r="A55" s="41" t="s">
        <v>348</v>
      </c>
      <c r="B55" s="36">
        <v>-4</v>
      </c>
      <c r="C55" s="47"/>
    </row>
    <row r="56" spans="1:3" x14ac:dyDescent="0.25">
      <c r="A56" s="42" t="s">
        <v>349</v>
      </c>
      <c r="B56" s="37">
        <v>0.5</v>
      </c>
      <c r="C56" s="48">
        <v>0</v>
      </c>
    </row>
    <row r="57" spans="1:3" x14ac:dyDescent="0.25">
      <c r="A57" s="42" t="s">
        <v>350</v>
      </c>
      <c r="B57" s="37">
        <v>2</v>
      </c>
      <c r="C57" s="48">
        <v>0</v>
      </c>
    </row>
    <row r="58" spans="1:3" x14ac:dyDescent="0.25">
      <c r="A58" s="41" t="s">
        <v>351</v>
      </c>
      <c r="B58" s="36">
        <v>2</v>
      </c>
      <c r="C58" s="47"/>
    </row>
    <row r="59" spans="1:3" x14ac:dyDescent="0.25">
      <c r="A59" s="43"/>
      <c r="B59" s="38"/>
      <c r="C59" s="49"/>
    </row>
    <row r="60" spans="1:3" x14ac:dyDescent="0.25">
      <c r="A60" s="43"/>
      <c r="B60" s="38"/>
      <c r="C60" s="49"/>
    </row>
    <row r="61" spans="1:3" x14ac:dyDescent="0.25">
      <c r="A61" s="43"/>
      <c r="B61" s="38"/>
      <c r="C61" s="49"/>
    </row>
    <row r="62" spans="1:3" x14ac:dyDescent="0.25">
      <c r="A62" s="43"/>
      <c r="B62" s="38"/>
      <c r="C62" s="49"/>
    </row>
    <row r="63" spans="1:3" x14ac:dyDescent="0.25">
      <c r="A63" s="43"/>
      <c r="B63" s="38"/>
      <c r="C63" s="49"/>
    </row>
    <row r="64" spans="1:3" x14ac:dyDescent="0.25">
      <c r="A64" s="43"/>
      <c r="B64" s="38"/>
      <c r="C64" s="49"/>
    </row>
    <row r="65" spans="1:3" x14ac:dyDescent="0.25">
      <c r="A65" s="43"/>
      <c r="B65" s="38"/>
      <c r="C65" s="49"/>
    </row>
    <row r="66" spans="1:3" x14ac:dyDescent="0.25">
      <c r="A66" s="43"/>
      <c r="B66" s="38"/>
      <c r="C66" s="49"/>
    </row>
    <row r="67" spans="1:3" x14ac:dyDescent="0.25">
      <c r="A67" s="43"/>
      <c r="B67" s="38"/>
      <c r="C67" s="49"/>
    </row>
    <row r="68" spans="1:3" x14ac:dyDescent="0.25">
      <c r="A68" s="43"/>
      <c r="B68" s="38"/>
      <c r="C68" s="49"/>
    </row>
    <row r="69" spans="1:3" x14ac:dyDescent="0.25">
      <c r="A69" s="43"/>
      <c r="B69" s="38"/>
      <c r="C69" s="49"/>
    </row>
    <row r="70" spans="1:3" x14ac:dyDescent="0.25">
      <c r="A70" s="43"/>
      <c r="B70" s="38"/>
      <c r="C70" s="49"/>
    </row>
    <row r="71" spans="1:3" x14ac:dyDescent="0.25">
      <c r="A71" s="43"/>
      <c r="B71" s="38"/>
      <c r="C71" s="49"/>
    </row>
    <row r="72" spans="1:3" x14ac:dyDescent="0.25">
      <c r="A72" s="43"/>
      <c r="B72" s="38"/>
      <c r="C72" s="49"/>
    </row>
    <row r="73" spans="1:3" x14ac:dyDescent="0.25">
      <c r="A73" s="43"/>
      <c r="B73" s="38"/>
      <c r="C73" s="49"/>
    </row>
    <row r="74" spans="1:3" x14ac:dyDescent="0.25">
      <c r="A74" s="43"/>
      <c r="B74" s="38"/>
      <c r="C74" s="49"/>
    </row>
    <row r="75" spans="1:3" x14ac:dyDescent="0.25">
      <c r="A75" s="43"/>
      <c r="B75" s="38"/>
      <c r="C75" s="49"/>
    </row>
    <row r="76" spans="1:3" x14ac:dyDescent="0.25">
      <c r="A76" s="43"/>
      <c r="B76" s="38"/>
      <c r="C76" s="49"/>
    </row>
    <row r="77" spans="1:3" x14ac:dyDescent="0.25">
      <c r="A77" s="43"/>
      <c r="B77" s="38"/>
      <c r="C77" s="49"/>
    </row>
    <row r="78" spans="1:3" x14ac:dyDescent="0.25">
      <c r="A78" s="43"/>
      <c r="B78" s="38"/>
      <c r="C78" s="49"/>
    </row>
    <row r="79" spans="1:3" x14ac:dyDescent="0.25">
      <c r="A79" s="43"/>
      <c r="B79" s="38"/>
      <c r="C79" s="49"/>
    </row>
    <row r="80" spans="1:3" x14ac:dyDescent="0.25">
      <c r="A80" s="43"/>
      <c r="B80" s="38"/>
      <c r="C80" s="49"/>
    </row>
    <row r="81" spans="1:3" x14ac:dyDescent="0.25">
      <c r="A81" s="44"/>
      <c r="B81" s="39"/>
      <c r="C81" s="50"/>
    </row>
  </sheetData>
  <mergeCells count="17">
    <mergeCell ref="B14:C14"/>
    <mergeCell ref="B13:C13"/>
    <mergeCell ref="B8:C8"/>
    <mergeCell ref="B9:C9"/>
    <mergeCell ref="B10:C10"/>
    <mergeCell ref="B11:C11"/>
    <mergeCell ref="B12:C12"/>
    <mergeCell ref="B6:C6"/>
    <mergeCell ref="B7:C7"/>
    <mergeCell ref="A1:C1"/>
    <mergeCell ref="A2:C2"/>
    <mergeCell ref="A16:C16"/>
    <mergeCell ref="A31:C31"/>
    <mergeCell ref="A40:C40"/>
    <mergeCell ref="B3:C3"/>
    <mergeCell ref="B4:C4"/>
    <mergeCell ref="B5:C5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197426-8E47-4409-B311-83A946BE41AE}">
  <dimension ref="A1:K34"/>
  <sheetViews>
    <sheetView showGridLines="0" zoomScale="85" zoomScaleNormal="85" workbookViewId="0">
      <pane xSplit="1" topLeftCell="B1" activePane="topRight" state="frozen"/>
      <selection activeCell="A20" sqref="A20"/>
      <selection pane="topRight" activeCell="D23" sqref="D23"/>
    </sheetView>
  </sheetViews>
  <sheetFormatPr defaultRowHeight="15" x14ac:dyDescent="0.25"/>
  <cols>
    <col min="1" max="1" width="16.140625" customWidth="1"/>
    <col min="2" max="11" width="27.5703125" customWidth="1"/>
  </cols>
  <sheetData>
    <row r="1" spans="1:11" ht="30" customHeight="1" x14ac:dyDescent="0.25">
      <c r="A1" s="80" t="s">
        <v>538</v>
      </c>
      <c r="B1" s="54" t="s">
        <v>540</v>
      </c>
      <c r="C1" s="54"/>
      <c r="D1" s="54"/>
      <c r="E1" s="54"/>
      <c r="F1" s="54"/>
      <c r="G1" s="54"/>
      <c r="H1" s="54"/>
      <c r="I1" s="54"/>
      <c r="J1" s="54"/>
      <c r="K1" s="55"/>
    </row>
    <row r="2" spans="1:11" ht="38.1" customHeight="1" thickBot="1" x14ac:dyDescent="0.3">
      <c r="A2" s="81" t="s">
        <v>539</v>
      </c>
      <c r="B2" s="56" t="s">
        <v>256</v>
      </c>
      <c r="C2" s="56" t="s">
        <v>87</v>
      </c>
      <c r="D2" s="56" t="s">
        <v>72</v>
      </c>
      <c r="E2" s="56" t="s">
        <v>73</v>
      </c>
      <c r="F2" s="56" t="s">
        <v>71</v>
      </c>
      <c r="G2" s="56" t="s">
        <v>185</v>
      </c>
      <c r="H2" s="56" t="s">
        <v>250</v>
      </c>
      <c r="I2" s="56" t="s">
        <v>244</v>
      </c>
      <c r="J2" s="56" t="s">
        <v>92</v>
      </c>
      <c r="K2" s="57" t="s">
        <v>243</v>
      </c>
    </row>
    <row r="3" spans="1:11" ht="24" customHeight="1" thickBot="1" x14ac:dyDescent="0.3">
      <c r="A3" s="25" t="s">
        <v>0</v>
      </c>
      <c r="B3" s="82"/>
      <c r="C3" s="82"/>
      <c r="D3" s="82"/>
      <c r="E3" s="82"/>
      <c r="F3" s="82"/>
      <c r="G3" s="82"/>
      <c r="H3" s="82"/>
      <c r="I3" s="91"/>
      <c r="J3" s="91"/>
      <c r="K3" s="83"/>
    </row>
    <row r="4" spans="1:11" ht="24" customHeight="1" thickTop="1" thickBot="1" x14ac:dyDescent="0.3">
      <c r="A4" s="14" t="s">
        <v>3</v>
      </c>
      <c r="B4" s="84"/>
      <c r="C4" s="84"/>
      <c r="D4" s="84"/>
      <c r="E4" s="84"/>
      <c r="F4" s="84"/>
      <c r="G4" s="84"/>
      <c r="H4" s="93"/>
      <c r="I4" s="92" t="s">
        <v>188</v>
      </c>
      <c r="J4" s="94" t="s">
        <v>188</v>
      </c>
      <c r="K4" s="90"/>
    </row>
    <row r="5" spans="1:11" ht="24" customHeight="1" thickTop="1" x14ac:dyDescent="0.25">
      <c r="A5" s="14" t="s">
        <v>8</v>
      </c>
      <c r="B5" s="86"/>
      <c r="C5" s="86"/>
      <c r="D5" s="86"/>
      <c r="E5" s="86"/>
      <c r="F5" s="86"/>
      <c r="G5" s="86"/>
      <c r="H5" s="86"/>
      <c r="I5" s="82"/>
      <c r="J5" s="82"/>
      <c r="K5" s="87"/>
    </row>
    <row r="6" spans="1:11" ht="24" customHeight="1" x14ac:dyDescent="0.25">
      <c r="A6" s="14" t="s">
        <v>13</v>
      </c>
      <c r="B6" s="84"/>
      <c r="C6" s="84"/>
      <c r="D6" s="84"/>
      <c r="E6" s="84"/>
      <c r="F6" s="84"/>
      <c r="G6" s="84"/>
      <c r="H6" s="84"/>
      <c r="I6" s="84"/>
      <c r="J6" s="84"/>
      <c r="K6" s="85"/>
    </row>
    <row r="7" spans="1:11" ht="24" customHeight="1" x14ac:dyDescent="0.25">
      <c r="A7" s="14" t="s">
        <v>16</v>
      </c>
      <c r="B7" s="86"/>
      <c r="C7" s="86"/>
      <c r="D7" s="86"/>
      <c r="E7" s="86"/>
      <c r="F7" s="86"/>
      <c r="G7" s="86"/>
      <c r="H7" s="86"/>
      <c r="I7" s="86"/>
      <c r="J7" s="86"/>
      <c r="K7" s="87"/>
    </row>
    <row r="8" spans="1:11" ht="24" customHeight="1" thickBot="1" x14ac:dyDescent="0.3">
      <c r="A8" s="14" t="s">
        <v>18</v>
      </c>
      <c r="B8" s="84"/>
      <c r="C8" s="84"/>
      <c r="D8" s="84"/>
      <c r="E8" s="84"/>
      <c r="F8" s="84"/>
      <c r="G8" s="84"/>
      <c r="H8" s="84"/>
      <c r="I8" s="97"/>
      <c r="J8" s="84"/>
      <c r="K8" s="85"/>
    </row>
    <row r="9" spans="1:11" ht="24" customHeight="1" thickTop="1" thickBot="1" x14ac:dyDescent="0.3">
      <c r="A9" s="14" t="s">
        <v>20</v>
      </c>
      <c r="B9" s="86"/>
      <c r="C9" s="86"/>
      <c r="D9" s="86"/>
      <c r="E9" s="86"/>
      <c r="F9" s="86"/>
      <c r="G9" s="86"/>
      <c r="H9" s="95"/>
      <c r="I9" s="92" t="s">
        <v>188</v>
      </c>
      <c r="J9" s="96"/>
      <c r="K9" s="87"/>
    </row>
    <row r="10" spans="1:11" ht="24" customHeight="1" thickTop="1" x14ac:dyDescent="0.25">
      <c r="A10" s="14" t="s">
        <v>24</v>
      </c>
      <c r="B10" s="84"/>
      <c r="C10" s="84"/>
      <c r="D10" s="84"/>
      <c r="E10" s="84"/>
      <c r="F10" s="84"/>
      <c r="G10" s="84"/>
      <c r="H10" s="84"/>
      <c r="I10" s="98"/>
      <c r="J10" s="84"/>
      <c r="K10" s="85"/>
    </row>
    <row r="11" spans="1:11" ht="24" customHeight="1" thickBot="1" x14ac:dyDescent="0.3">
      <c r="A11" s="14" t="s">
        <v>28</v>
      </c>
      <c r="B11" s="100"/>
      <c r="C11" s="86"/>
      <c r="D11" s="86"/>
      <c r="E11" s="86"/>
      <c r="F11" s="86"/>
      <c r="G11" s="86"/>
      <c r="H11" s="86"/>
      <c r="I11" s="86"/>
      <c r="J11" s="86"/>
      <c r="K11" s="87"/>
    </row>
    <row r="12" spans="1:11" ht="24" customHeight="1" thickTop="1" thickBot="1" x14ac:dyDescent="0.3">
      <c r="A12" s="23" t="s">
        <v>29</v>
      </c>
      <c r="B12" s="101" t="s">
        <v>190</v>
      </c>
      <c r="C12" s="99"/>
      <c r="D12" s="84"/>
      <c r="E12" s="84"/>
      <c r="F12" s="84"/>
      <c r="G12" s="84"/>
      <c r="H12" s="84"/>
      <c r="I12" s="84"/>
      <c r="J12" s="84"/>
      <c r="K12" s="85"/>
    </row>
    <row r="13" spans="1:11" ht="24" customHeight="1" thickTop="1" thickBot="1" x14ac:dyDescent="0.3">
      <c r="A13" s="23" t="s">
        <v>31</v>
      </c>
      <c r="B13" s="101" t="s">
        <v>192</v>
      </c>
      <c r="C13" s="96"/>
      <c r="D13" s="86"/>
      <c r="E13" s="86"/>
      <c r="F13" s="86"/>
      <c r="G13" s="86"/>
      <c r="H13" s="86"/>
      <c r="I13" s="86"/>
      <c r="J13" s="86"/>
      <c r="K13" s="87"/>
    </row>
    <row r="14" spans="1:11" ht="24" customHeight="1" thickTop="1" thickBot="1" x14ac:dyDescent="0.3">
      <c r="A14" s="23" t="s">
        <v>35</v>
      </c>
      <c r="B14" s="92" t="s">
        <v>190</v>
      </c>
      <c r="C14" s="99"/>
      <c r="D14" s="84"/>
      <c r="E14" s="84"/>
      <c r="F14" s="84"/>
      <c r="G14" s="84"/>
      <c r="H14" s="84"/>
      <c r="I14" s="84"/>
      <c r="J14" s="84"/>
      <c r="K14" s="85"/>
    </row>
    <row r="15" spans="1:11" ht="24" customHeight="1" thickTop="1" x14ac:dyDescent="0.25">
      <c r="A15" s="14" t="s">
        <v>37</v>
      </c>
      <c r="B15" s="82"/>
      <c r="C15" s="86"/>
      <c r="D15" s="86"/>
      <c r="E15" s="86"/>
      <c r="F15" s="86"/>
      <c r="G15" s="86"/>
      <c r="H15" s="86"/>
      <c r="I15" s="86"/>
      <c r="J15" s="86"/>
      <c r="K15" s="87"/>
    </row>
    <row r="16" spans="1:11" ht="24" customHeight="1" x14ac:dyDescent="0.25">
      <c r="A16" s="14" t="s">
        <v>40</v>
      </c>
      <c r="B16" s="84"/>
      <c r="C16" s="84"/>
      <c r="D16" s="84"/>
      <c r="E16" s="84"/>
      <c r="F16" s="84"/>
      <c r="G16" s="84"/>
      <c r="H16" s="84"/>
      <c r="I16" s="84"/>
      <c r="J16" s="84"/>
      <c r="K16" s="85"/>
    </row>
    <row r="17" spans="1:11" ht="24" customHeight="1" x14ac:dyDescent="0.25">
      <c r="A17" s="14" t="s">
        <v>41</v>
      </c>
      <c r="B17" s="86"/>
      <c r="C17" s="86"/>
      <c r="D17" s="86"/>
      <c r="E17" s="86"/>
      <c r="F17" s="86"/>
      <c r="G17" s="86"/>
      <c r="H17" s="86"/>
      <c r="I17" s="86"/>
      <c r="J17" s="86"/>
      <c r="K17" s="87"/>
    </row>
    <row r="18" spans="1:11" ht="24" customHeight="1" x14ac:dyDescent="0.25">
      <c r="A18" s="15" t="s">
        <v>43</v>
      </c>
      <c r="B18" s="88"/>
      <c r="C18" s="88"/>
      <c r="D18" s="88"/>
      <c r="E18" s="88"/>
      <c r="F18" s="88"/>
      <c r="G18" s="88"/>
      <c r="H18" s="88"/>
      <c r="I18" s="88"/>
      <c r="J18" s="88"/>
      <c r="K18" s="89"/>
    </row>
    <row r="19" spans="1:11" x14ac:dyDescent="0.25">
      <c r="A19" s="7"/>
      <c r="B19" s="8"/>
      <c r="C19" s="8"/>
      <c r="D19" s="8"/>
      <c r="E19" s="8"/>
      <c r="F19" s="8"/>
      <c r="G19" s="8"/>
      <c r="H19" s="8"/>
      <c r="I19" s="8"/>
      <c r="J19" s="8"/>
      <c r="K19" s="8"/>
    </row>
    <row r="20" spans="1:11" ht="27.95" customHeight="1" x14ac:dyDescent="0.25">
      <c r="B20" s="60" t="s">
        <v>542</v>
      </c>
      <c r="C20" s="61"/>
      <c r="D20" s="62"/>
    </row>
    <row r="21" spans="1:11" ht="15.75" thickBot="1" x14ac:dyDescent="0.3">
      <c r="B21" s="126" t="s">
        <v>194</v>
      </c>
      <c r="C21" s="127" t="s">
        <v>195</v>
      </c>
      <c r="D21" s="128" t="s">
        <v>186</v>
      </c>
    </row>
    <row r="22" spans="1:11" ht="21.95" customHeight="1" x14ac:dyDescent="0.25">
      <c r="B22" s="129" t="s">
        <v>188</v>
      </c>
      <c r="C22" s="130" t="s">
        <v>196</v>
      </c>
      <c r="D22" s="131" t="s">
        <v>187</v>
      </c>
    </row>
    <row r="23" spans="1:11" ht="21.95" customHeight="1" thickBot="1" x14ac:dyDescent="0.3">
      <c r="B23" s="141"/>
      <c r="C23" s="142" t="s">
        <v>203</v>
      </c>
      <c r="D23" s="143"/>
    </row>
    <row r="24" spans="1:11" ht="21.95" customHeight="1" x14ac:dyDescent="0.25">
      <c r="B24" s="144" t="s">
        <v>190</v>
      </c>
      <c r="C24" s="145" t="s">
        <v>197</v>
      </c>
      <c r="D24" s="146" t="s">
        <v>187</v>
      </c>
    </row>
    <row r="25" spans="1:11" ht="21.95" customHeight="1" thickBot="1" x14ac:dyDescent="0.3">
      <c r="B25" s="141"/>
      <c r="C25" s="142" t="s">
        <v>204</v>
      </c>
      <c r="D25" s="143"/>
    </row>
    <row r="26" spans="1:11" ht="21.95" customHeight="1" x14ac:dyDescent="0.25">
      <c r="B26" s="132" t="s">
        <v>192</v>
      </c>
      <c r="C26" s="133" t="s">
        <v>198</v>
      </c>
      <c r="D26" s="134" t="s">
        <v>191</v>
      </c>
    </row>
    <row r="27" spans="1:11" ht="21.95" customHeight="1" thickBot="1" x14ac:dyDescent="0.3">
      <c r="B27" s="147"/>
      <c r="C27" s="148" t="s">
        <v>205</v>
      </c>
      <c r="D27" s="149"/>
    </row>
    <row r="28" spans="1:11" ht="21.95" customHeight="1" x14ac:dyDescent="0.25">
      <c r="B28" s="150" t="s">
        <v>188</v>
      </c>
      <c r="C28" s="151" t="s">
        <v>199</v>
      </c>
      <c r="D28" s="152" t="s">
        <v>191</v>
      </c>
    </row>
    <row r="29" spans="1:11" ht="21.95" customHeight="1" thickBot="1" x14ac:dyDescent="0.3">
      <c r="B29" s="147"/>
      <c r="C29" s="148" t="s">
        <v>206</v>
      </c>
      <c r="D29" s="149"/>
    </row>
    <row r="30" spans="1:11" ht="21.95" customHeight="1" x14ac:dyDescent="0.25">
      <c r="B30" s="138" t="s">
        <v>190</v>
      </c>
      <c r="C30" s="139" t="s">
        <v>200</v>
      </c>
      <c r="D30" s="140" t="s">
        <v>187</v>
      </c>
    </row>
    <row r="31" spans="1:11" ht="21.95" customHeight="1" x14ac:dyDescent="0.25">
      <c r="B31" s="135"/>
      <c r="C31" s="136" t="s">
        <v>201</v>
      </c>
      <c r="D31" s="137" t="s">
        <v>191</v>
      </c>
    </row>
    <row r="32" spans="1:11" ht="21.95" customHeight="1" thickBot="1" x14ac:dyDescent="0.3">
      <c r="B32" s="153"/>
      <c r="C32" s="154" t="s">
        <v>207</v>
      </c>
      <c r="D32" s="155"/>
    </row>
    <row r="33" spans="2:4" ht="21.95" customHeight="1" x14ac:dyDescent="0.25">
      <c r="B33" s="156" t="s">
        <v>188</v>
      </c>
      <c r="C33" s="157" t="s">
        <v>202</v>
      </c>
      <c r="D33" s="158" t="s">
        <v>187</v>
      </c>
    </row>
    <row r="34" spans="2:4" ht="21.95" customHeight="1" thickBot="1" x14ac:dyDescent="0.3">
      <c r="B34" s="159"/>
      <c r="C34" s="160" t="s">
        <v>206</v>
      </c>
      <c r="D34" s="161"/>
    </row>
  </sheetData>
  <mergeCells count="8">
    <mergeCell ref="B22:B23"/>
    <mergeCell ref="B24:B25"/>
    <mergeCell ref="B26:B27"/>
    <mergeCell ref="B28:B29"/>
    <mergeCell ref="B30:B32"/>
    <mergeCell ref="B33:B34"/>
    <mergeCell ref="B1:K1"/>
    <mergeCell ref="B20:D20"/>
  </mergeCell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F434EA9-83B6-4AC2-B19F-397C9E0AE2D7}">
  <dimension ref="A1:J20"/>
  <sheetViews>
    <sheetView showGridLines="0" zoomScale="85" zoomScaleNormal="85" workbookViewId="0">
      <pane ySplit="2" topLeftCell="A3" activePane="bottomLeft" state="frozen"/>
      <selection pane="bottomLeft" activeCell="L15" sqref="L15:M15"/>
    </sheetView>
  </sheetViews>
  <sheetFormatPr defaultRowHeight="15" x14ac:dyDescent="0.25"/>
  <cols>
    <col min="1" max="10" width="39" style="79" customWidth="1"/>
    <col min="11" max="16384" width="9.140625" style="79"/>
  </cols>
  <sheetData>
    <row r="1" spans="1:10" ht="33.950000000000003" customHeight="1" x14ac:dyDescent="0.25">
      <c r="A1" s="120" t="s">
        <v>541</v>
      </c>
      <c r="B1" s="121"/>
      <c r="C1" s="121"/>
      <c r="D1" s="121"/>
      <c r="E1" s="121"/>
      <c r="F1" s="121"/>
      <c r="G1" s="121"/>
      <c r="H1" s="121"/>
      <c r="I1" s="121"/>
      <c r="J1" s="122"/>
    </row>
    <row r="2" spans="1:10" ht="44.1" customHeight="1" thickBot="1" x14ac:dyDescent="0.3">
      <c r="A2" s="123" t="s">
        <v>256</v>
      </c>
      <c r="B2" s="124" t="s">
        <v>243</v>
      </c>
      <c r="C2" s="124" t="s">
        <v>92</v>
      </c>
      <c r="D2" s="124" t="s">
        <v>71</v>
      </c>
      <c r="E2" s="124" t="s">
        <v>72</v>
      </c>
      <c r="F2" s="124" t="s">
        <v>185</v>
      </c>
      <c r="G2" s="124" t="s">
        <v>244</v>
      </c>
      <c r="H2" s="124" t="s">
        <v>87</v>
      </c>
      <c r="I2" s="124" t="s">
        <v>73</v>
      </c>
      <c r="J2" s="125" t="s">
        <v>250</v>
      </c>
    </row>
    <row r="3" spans="1:10" ht="27.95" customHeight="1" x14ac:dyDescent="0.25">
      <c r="A3" s="102" t="s">
        <v>393</v>
      </c>
      <c r="B3" s="103" t="s">
        <v>406</v>
      </c>
      <c r="C3" s="103" t="s">
        <v>181</v>
      </c>
      <c r="D3" s="103" t="s">
        <v>432</v>
      </c>
      <c r="E3" s="104" t="s">
        <v>180</v>
      </c>
      <c r="F3" s="103" t="s">
        <v>459</v>
      </c>
      <c r="G3" s="103" t="s">
        <v>473</v>
      </c>
      <c r="H3" s="103" t="s">
        <v>173</v>
      </c>
      <c r="I3" s="103" t="s">
        <v>504</v>
      </c>
      <c r="J3" s="105" t="s">
        <v>182</v>
      </c>
    </row>
    <row r="4" spans="1:10" ht="27.95" customHeight="1" x14ac:dyDescent="0.25">
      <c r="A4" s="106" t="s">
        <v>179</v>
      </c>
      <c r="B4" s="107" t="s">
        <v>407</v>
      </c>
      <c r="C4" s="107" t="s">
        <v>535</v>
      </c>
      <c r="D4" s="107" t="s">
        <v>174</v>
      </c>
      <c r="E4" s="107" t="s">
        <v>446</v>
      </c>
      <c r="F4" s="107" t="s">
        <v>460</v>
      </c>
      <c r="G4" s="107" t="s">
        <v>537</v>
      </c>
      <c r="H4" s="107" t="s">
        <v>487</v>
      </c>
      <c r="I4" s="108" t="s">
        <v>505</v>
      </c>
      <c r="J4" s="109" t="s">
        <v>518</v>
      </c>
    </row>
    <row r="5" spans="1:10" ht="27.95" customHeight="1" x14ac:dyDescent="0.25">
      <c r="A5" s="110" t="s">
        <v>394</v>
      </c>
      <c r="B5" s="111" t="s">
        <v>408</v>
      </c>
      <c r="C5" s="111" t="s">
        <v>420</v>
      </c>
      <c r="D5" s="111" t="s">
        <v>433</v>
      </c>
      <c r="E5" s="108" t="s">
        <v>447</v>
      </c>
      <c r="F5" s="111" t="s">
        <v>461</v>
      </c>
      <c r="G5" s="111" t="s">
        <v>474</v>
      </c>
      <c r="H5" s="108" t="s">
        <v>488</v>
      </c>
      <c r="I5" s="111" t="s">
        <v>506</v>
      </c>
      <c r="J5" s="112" t="s">
        <v>519</v>
      </c>
    </row>
    <row r="6" spans="1:10" ht="27.95" customHeight="1" x14ac:dyDescent="0.25">
      <c r="A6" s="106" t="s">
        <v>395</v>
      </c>
      <c r="B6" s="107" t="s">
        <v>409</v>
      </c>
      <c r="C6" s="107" t="s">
        <v>536</v>
      </c>
      <c r="D6" s="107" t="s">
        <v>434</v>
      </c>
      <c r="E6" s="107" t="s">
        <v>448</v>
      </c>
      <c r="F6" s="107" t="s">
        <v>462</v>
      </c>
      <c r="G6" s="107" t="s">
        <v>475</v>
      </c>
      <c r="H6" s="107" t="s">
        <v>489</v>
      </c>
      <c r="I6" s="107" t="s">
        <v>507</v>
      </c>
      <c r="J6" s="109" t="s">
        <v>520</v>
      </c>
    </row>
    <row r="7" spans="1:10" ht="27.95" customHeight="1" x14ac:dyDescent="0.25">
      <c r="A7" s="110" t="s">
        <v>396</v>
      </c>
      <c r="B7" s="111" t="s">
        <v>410</v>
      </c>
      <c r="C7" s="111" t="s">
        <v>421</v>
      </c>
      <c r="D7" s="108" t="s">
        <v>435</v>
      </c>
      <c r="E7" s="111" t="s">
        <v>449</v>
      </c>
      <c r="F7" s="111" t="s">
        <v>463</v>
      </c>
      <c r="G7" s="111" t="s">
        <v>476</v>
      </c>
      <c r="H7" s="111" t="s">
        <v>490</v>
      </c>
      <c r="I7" s="111" t="s">
        <v>508</v>
      </c>
      <c r="J7" s="113" t="s">
        <v>521</v>
      </c>
    </row>
    <row r="8" spans="1:10" ht="27.95" customHeight="1" x14ac:dyDescent="0.25">
      <c r="A8" s="114" t="s">
        <v>397</v>
      </c>
      <c r="B8" s="107" t="s">
        <v>411</v>
      </c>
      <c r="C8" s="107" t="s">
        <v>422</v>
      </c>
      <c r="D8" s="107" t="s">
        <v>436</v>
      </c>
      <c r="E8" s="107" t="s">
        <v>450</v>
      </c>
      <c r="F8" s="108" t="s">
        <v>464</v>
      </c>
      <c r="G8" s="107" t="s">
        <v>477</v>
      </c>
      <c r="H8" s="107" t="s">
        <v>491</v>
      </c>
      <c r="I8" s="107" t="s">
        <v>178</v>
      </c>
      <c r="J8" s="109" t="s">
        <v>522</v>
      </c>
    </row>
    <row r="9" spans="1:10" ht="27.95" customHeight="1" x14ac:dyDescent="0.25">
      <c r="A9" s="110" t="s">
        <v>398</v>
      </c>
      <c r="B9" s="111" t="s">
        <v>412</v>
      </c>
      <c r="C9" s="111" t="s">
        <v>423</v>
      </c>
      <c r="D9" s="111" t="s">
        <v>437</v>
      </c>
      <c r="E9" s="111" t="s">
        <v>451</v>
      </c>
      <c r="F9" s="111" t="s">
        <v>169</v>
      </c>
      <c r="G9" s="111" t="s">
        <v>478</v>
      </c>
      <c r="H9" s="111" t="s">
        <v>492</v>
      </c>
      <c r="I9" s="111" t="s">
        <v>509</v>
      </c>
      <c r="J9" s="113" t="s">
        <v>523</v>
      </c>
    </row>
    <row r="10" spans="1:10" ht="27.95" customHeight="1" x14ac:dyDescent="0.25">
      <c r="A10" s="106" t="s">
        <v>399</v>
      </c>
      <c r="B10" s="107" t="s">
        <v>413</v>
      </c>
      <c r="C10" s="107" t="s">
        <v>424</v>
      </c>
      <c r="D10" s="107" t="s">
        <v>159</v>
      </c>
      <c r="E10" s="107" t="s">
        <v>452</v>
      </c>
      <c r="F10" s="107" t="s">
        <v>465</v>
      </c>
      <c r="G10" s="107" t="s">
        <v>167</v>
      </c>
      <c r="H10" s="107" t="s">
        <v>493</v>
      </c>
      <c r="I10" s="107" t="s">
        <v>165</v>
      </c>
      <c r="J10" s="109" t="s">
        <v>524</v>
      </c>
    </row>
    <row r="11" spans="1:10" ht="27.95" customHeight="1" x14ac:dyDescent="0.25">
      <c r="A11" s="110" t="s">
        <v>400</v>
      </c>
      <c r="B11" s="111" t="s">
        <v>162</v>
      </c>
      <c r="C11" s="111" t="s">
        <v>425</v>
      </c>
      <c r="D11" s="111" t="s">
        <v>438</v>
      </c>
      <c r="E11" s="111" t="s">
        <v>453</v>
      </c>
      <c r="F11" s="111" t="s">
        <v>466</v>
      </c>
      <c r="G11" s="111" t="s">
        <v>479</v>
      </c>
      <c r="H11" s="111" t="s">
        <v>494</v>
      </c>
      <c r="I11" s="111" t="s">
        <v>510</v>
      </c>
      <c r="J11" s="113" t="s">
        <v>525</v>
      </c>
    </row>
    <row r="12" spans="1:10" ht="27.95" customHeight="1" x14ac:dyDescent="0.25">
      <c r="A12" s="106" t="s">
        <v>401</v>
      </c>
      <c r="B12" s="108" t="s">
        <v>414</v>
      </c>
      <c r="C12" s="107" t="s">
        <v>426</v>
      </c>
      <c r="D12" s="107" t="s">
        <v>170</v>
      </c>
      <c r="E12" s="107" t="s">
        <v>454</v>
      </c>
      <c r="F12" s="107" t="s">
        <v>467</v>
      </c>
      <c r="G12" s="107" t="s">
        <v>480</v>
      </c>
      <c r="H12" s="107" t="s">
        <v>495</v>
      </c>
      <c r="I12" s="107" t="s">
        <v>511</v>
      </c>
      <c r="J12" s="109" t="s">
        <v>526</v>
      </c>
    </row>
    <row r="13" spans="1:10" ht="27.95" customHeight="1" x14ac:dyDescent="0.25">
      <c r="A13" s="110" t="s">
        <v>402</v>
      </c>
      <c r="B13" s="111" t="s">
        <v>415</v>
      </c>
      <c r="C13" s="111" t="s">
        <v>427</v>
      </c>
      <c r="D13" s="111" t="s">
        <v>439</v>
      </c>
      <c r="E13" s="111" t="s">
        <v>158</v>
      </c>
      <c r="F13" s="111" t="s">
        <v>468</v>
      </c>
      <c r="G13" s="111" t="s">
        <v>481</v>
      </c>
      <c r="H13" s="111" t="s">
        <v>496</v>
      </c>
      <c r="I13" s="111" t="s">
        <v>160</v>
      </c>
      <c r="J13" s="113" t="s">
        <v>527</v>
      </c>
    </row>
    <row r="14" spans="1:10" ht="27.95" customHeight="1" x14ac:dyDescent="0.25">
      <c r="A14" s="106" t="s">
        <v>156</v>
      </c>
      <c r="B14" s="107" t="s">
        <v>176</v>
      </c>
      <c r="C14" s="107" t="s">
        <v>428</v>
      </c>
      <c r="D14" s="107" t="s">
        <v>440</v>
      </c>
      <c r="E14" s="107" t="s">
        <v>455</v>
      </c>
      <c r="F14" s="107" t="s">
        <v>469</v>
      </c>
      <c r="G14" s="107" t="s">
        <v>482</v>
      </c>
      <c r="H14" s="107" t="s">
        <v>497</v>
      </c>
      <c r="I14" s="107" t="s">
        <v>177</v>
      </c>
      <c r="J14" s="109" t="s">
        <v>528</v>
      </c>
    </row>
    <row r="15" spans="1:10" ht="27.95" customHeight="1" x14ac:dyDescent="0.25">
      <c r="A15" s="110" t="s">
        <v>164</v>
      </c>
      <c r="B15" s="111" t="s">
        <v>171</v>
      </c>
      <c r="C15" s="108" t="s">
        <v>429</v>
      </c>
      <c r="D15" s="111" t="s">
        <v>441</v>
      </c>
      <c r="E15" s="111" t="s">
        <v>456</v>
      </c>
      <c r="F15" s="111" t="s">
        <v>470</v>
      </c>
      <c r="G15" s="108" t="s">
        <v>483</v>
      </c>
      <c r="H15" s="111" t="s">
        <v>498</v>
      </c>
      <c r="I15" s="111" t="s">
        <v>512</v>
      </c>
      <c r="J15" s="113" t="s">
        <v>529</v>
      </c>
    </row>
    <row r="16" spans="1:10" ht="27.95" customHeight="1" x14ac:dyDescent="0.25">
      <c r="A16" s="106" t="s">
        <v>166</v>
      </c>
      <c r="B16" s="107" t="s">
        <v>416</v>
      </c>
      <c r="C16" s="107" t="s">
        <v>430</v>
      </c>
      <c r="D16" s="108" t="s">
        <v>442</v>
      </c>
      <c r="E16" s="107" t="s">
        <v>457</v>
      </c>
      <c r="F16" s="107" t="s">
        <v>471</v>
      </c>
      <c r="G16" s="107" t="s">
        <v>484</v>
      </c>
      <c r="H16" s="107" t="s">
        <v>499</v>
      </c>
      <c r="I16" s="108" t="s">
        <v>513</v>
      </c>
      <c r="J16" s="109" t="s">
        <v>530</v>
      </c>
    </row>
    <row r="17" spans="1:10" ht="27.95" customHeight="1" x14ac:dyDescent="0.25">
      <c r="A17" s="110" t="s">
        <v>403</v>
      </c>
      <c r="B17" s="111" t="s">
        <v>172</v>
      </c>
      <c r="C17" s="108" t="s">
        <v>431</v>
      </c>
      <c r="D17" s="111" t="s">
        <v>443</v>
      </c>
      <c r="E17" s="111" t="s">
        <v>163</v>
      </c>
      <c r="F17" s="111" t="s">
        <v>161</v>
      </c>
      <c r="G17" s="111" t="s">
        <v>168</v>
      </c>
      <c r="H17" s="111" t="s">
        <v>500</v>
      </c>
      <c r="I17" s="111" t="s">
        <v>514</v>
      </c>
      <c r="J17" s="113" t="s">
        <v>531</v>
      </c>
    </row>
    <row r="18" spans="1:10" ht="27.95" customHeight="1" x14ac:dyDescent="0.25">
      <c r="A18" s="106" t="s">
        <v>404</v>
      </c>
      <c r="B18" s="107" t="s">
        <v>417</v>
      </c>
      <c r="C18" s="107" t="s">
        <v>175</v>
      </c>
      <c r="D18" s="107" t="s">
        <v>444</v>
      </c>
      <c r="E18" s="107" t="s">
        <v>458</v>
      </c>
      <c r="F18" s="107" t="s">
        <v>472</v>
      </c>
      <c r="G18" s="107" t="s">
        <v>157</v>
      </c>
      <c r="H18" s="107" t="s">
        <v>501</v>
      </c>
      <c r="I18" s="107" t="s">
        <v>515</v>
      </c>
      <c r="J18" s="109" t="s">
        <v>532</v>
      </c>
    </row>
    <row r="19" spans="1:10" ht="27.95" customHeight="1" x14ac:dyDescent="0.25">
      <c r="A19" s="114" t="s">
        <v>405</v>
      </c>
      <c r="B19" s="111" t="s">
        <v>418</v>
      </c>
      <c r="C19" s="117"/>
      <c r="D19" s="111" t="s">
        <v>445</v>
      </c>
      <c r="E19" s="117"/>
      <c r="F19" s="117"/>
      <c r="G19" s="108" t="s">
        <v>485</v>
      </c>
      <c r="H19" s="108" t="s">
        <v>502</v>
      </c>
      <c r="I19" s="111" t="s">
        <v>516</v>
      </c>
      <c r="J19" s="113" t="s">
        <v>533</v>
      </c>
    </row>
    <row r="20" spans="1:10" ht="27.95" customHeight="1" x14ac:dyDescent="0.25">
      <c r="A20" s="119"/>
      <c r="B20" s="115" t="s">
        <v>419</v>
      </c>
      <c r="C20" s="118"/>
      <c r="D20" s="118"/>
      <c r="E20" s="118"/>
      <c r="F20" s="118"/>
      <c r="G20" s="115" t="s">
        <v>486</v>
      </c>
      <c r="H20" s="115" t="s">
        <v>503</v>
      </c>
      <c r="I20" s="115" t="s">
        <v>517</v>
      </c>
      <c r="J20" s="116" t="s">
        <v>534</v>
      </c>
    </row>
  </sheetData>
  <mergeCells count="1">
    <mergeCell ref="A1:J1"/>
  </mergeCell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44A6A6B-2FDD-4AB7-8CA0-7146DEAB8632}">
  <sheetPr>
    <tabColor rgb="FF1F4E79"/>
  </sheetPr>
  <dimension ref="A1:M42"/>
  <sheetViews>
    <sheetView workbookViewId="0">
      <pane ySplit="2" topLeftCell="A3" activePane="bottomLeft" state="frozen"/>
      <selection pane="bottomLeft" activeCell="C15" sqref="C15"/>
    </sheetView>
  </sheetViews>
  <sheetFormatPr defaultRowHeight="15" x14ac:dyDescent="0.25"/>
  <cols>
    <col min="1" max="1" width="21.5703125" customWidth="1"/>
    <col min="2" max="2" width="41.85546875" customWidth="1"/>
    <col min="3" max="3" width="12.7109375" customWidth="1"/>
    <col min="4" max="4" width="29.140625" customWidth="1"/>
    <col min="5" max="5" width="25.28515625" customWidth="1"/>
    <col min="6" max="6" width="21.5703125" customWidth="1"/>
    <col min="7" max="7" width="25.28515625" customWidth="1"/>
    <col min="8" max="8" width="20.42578125" customWidth="1"/>
    <col min="9" max="9" width="24.140625" customWidth="1"/>
    <col min="10" max="10" width="35.5703125" customWidth="1"/>
    <col min="11" max="11" width="4.5703125" customWidth="1"/>
    <col min="12" max="12" width="38.140625" customWidth="1"/>
    <col min="13" max="13" width="33" customWidth="1"/>
  </cols>
  <sheetData>
    <row r="1" spans="1:13" ht="30" customHeight="1" thickBot="1" x14ac:dyDescent="0.3">
      <c r="A1" s="199" t="s">
        <v>660</v>
      </c>
      <c r="B1" s="199"/>
      <c r="C1" s="199"/>
      <c r="D1" s="199"/>
      <c r="E1" s="199"/>
      <c r="F1" s="199"/>
      <c r="G1" s="199"/>
      <c r="H1" s="199"/>
      <c r="I1" s="199"/>
      <c r="J1" s="199"/>
      <c r="K1" s="6"/>
      <c r="L1" s="6"/>
      <c r="M1" s="6"/>
    </row>
    <row r="2" spans="1:13" ht="42" customHeight="1" x14ac:dyDescent="0.25">
      <c r="A2" s="191" t="s">
        <v>622</v>
      </c>
      <c r="B2" s="189" t="s">
        <v>354</v>
      </c>
      <c r="C2" s="189" t="s">
        <v>186</v>
      </c>
      <c r="D2" s="189" t="s">
        <v>545</v>
      </c>
      <c r="E2" s="189" t="s">
        <v>623</v>
      </c>
      <c r="F2" s="189" t="s">
        <v>624</v>
      </c>
      <c r="G2" s="189" t="s">
        <v>625</v>
      </c>
      <c r="H2" s="189" t="s">
        <v>626</v>
      </c>
      <c r="I2" s="189" t="s">
        <v>627</v>
      </c>
      <c r="J2" s="192" t="s">
        <v>628</v>
      </c>
      <c r="K2" s="6"/>
      <c r="L2" s="211" t="s">
        <v>661</v>
      </c>
      <c r="M2" s="215"/>
    </row>
    <row r="3" spans="1:13" x14ac:dyDescent="0.25">
      <c r="A3" s="193" t="s">
        <v>630</v>
      </c>
      <c r="B3" s="195" t="s">
        <v>60</v>
      </c>
      <c r="C3" s="185" t="s">
        <v>575</v>
      </c>
      <c r="D3" s="185" t="s">
        <v>552</v>
      </c>
      <c r="E3" s="197">
        <v>69.099999999999994</v>
      </c>
      <c r="F3" s="200">
        <v>7</v>
      </c>
      <c r="G3" s="200">
        <v>8</v>
      </c>
      <c r="H3" s="203">
        <v>1</v>
      </c>
      <c r="I3" s="185"/>
      <c r="J3" s="206" t="s">
        <v>631</v>
      </c>
      <c r="K3" s="6"/>
      <c r="L3" s="212" t="s">
        <v>662</v>
      </c>
      <c r="M3" s="216">
        <v>17</v>
      </c>
    </row>
    <row r="4" spans="1:13" x14ac:dyDescent="0.25">
      <c r="A4" s="194" t="s">
        <v>639</v>
      </c>
      <c r="B4" s="196" t="s">
        <v>99</v>
      </c>
      <c r="C4" s="187" t="s">
        <v>187</v>
      </c>
      <c r="D4" s="187" t="s">
        <v>584</v>
      </c>
      <c r="E4" s="198">
        <v>64.8</v>
      </c>
      <c r="F4" s="201">
        <v>7</v>
      </c>
      <c r="G4" s="201">
        <v>7</v>
      </c>
      <c r="H4" s="204">
        <v>0</v>
      </c>
      <c r="I4" s="187"/>
      <c r="J4" s="207" t="s">
        <v>647</v>
      </c>
      <c r="K4" s="6"/>
      <c r="L4" s="213" t="s">
        <v>663</v>
      </c>
      <c r="M4" s="217">
        <v>2</v>
      </c>
    </row>
    <row r="5" spans="1:13" x14ac:dyDescent="0.25">
      <c r="A5" s="194" t="s">
        <v>630</v>
      </c>
      <c r="B5" s="196" t="s">
        <v>375</v>
      </c>
      <c r="C5" s="187" t="s">
        <v>187</v>
      </c>
      <c r="D5" s="187" t="s">
        <v>580</v>
      </c>
      <c r="E5" s="198">
        <v>111.5</v>
      </c>
      <c r="F5" s="201">
        <v>12</v>
      </c>
      <c r="G5" s="201">
        <v>8</v>
      </c>
      <c r="H5" s="204">
        <v>-4</v>
      </c>
      <c r="I5" s="187"/>
      <c r="J5" s="207" t="s">
        <v>647</v>
      </c>
      <c r="K5" s="6"/>
      <c r="L5" s="212" t="s">
        <v>664</v>
      </c>
      <c r="M5" s="218">
        <v>93.608333333333306</v>
      </c>
    </row>
    <row r="6" spans="1:13" x14ac:dyDescent="0.25">
      <c r="A6" s="194" t="s">
        <v>636</v>
      </c>
      <c r="B6" s="196" t="s">
        <v>98</v>
      </c>
      <c r="C6" s="187" t="s">
        <v>187</v>
      </c>
      <c r="D6" s="187" t="s">
        <v>554</v>
      </c>
      <c r="E6" s="198">
        <v>139</v>
      </c>
      <c r="F6" s="201">
        <v>14</v>
      </c>
      <c r="G6" s="201">
        <v>8</v>
      </c>
      <c r="H6" s="204">
        <v>-6</v>
      </c>
      <c r="I6" s="187"/>
      <c r="J6" s="207" t="s">
        <v>634</v>
      </c>
      <c r="K6" s="6"/>
      <c r="L6" s="213" t="s">
        <v>665</v>
      </c>
      <c r="M6" s="219">
        <v>2</v>
      </c>
    </row>
    <row r="7" spans="1:13" x14ac:dyDescent="0.25">
      <c r="A7" s="194" t="s">
        <v>635</v>
      </c>
      <c r="B7" s="196" t="s">
        <v>23</v>
      </c>
      <c r="C7" s="187" t="s">
        <v>187</v>
      </c>
      <c r="D7" s="187" t="s">
        <v>567</v>
      </c>
      <c r="E7" s="198">
        <v>142.9</v>
      </c>
      <c r="F7" s="201">
        <v>15</v>
      </c>
      <c r="G7" s="201">
        <v>3</v>
      </c>
      <c r="H7" s="204">
        <v>-12</v>
      </c>
      <c r="I7" s="187"/>
      <c r="J7" s="207" t="s">
        <v>634</v>
      </c>
      <c r="K7" s="6"/>
      <c r="L7" s="212" t="s">
        <v>666</v>
      </c>
      <c r="M7" s="216" t="s">
        <v>374</v>
      </c>
    </row>
    <row r="8" spans="1:13" x14ac:dyDescent="0.25">
      <c r="A8" s="194" t="s">
        <v>630</v>
      </c>
      <c r="B8" s="196" t="s">
        <v>30</v>
      </c>
      <c r="C8" s="187" t="s">
        <v>187</v>
      </c>
      <c r="D8" s="187" t="s">
        <v>571</v>
      </c>
      <c r="E8" s="198"/>
      <c r="F8" s="201"/>
      <c r="G8" s="201">
        <v>8</v>
      </c>
      <c r="H8" s="204"/>
      <c r="I8" s="187"/>
      <c r="J8" s="207" t="s">
        <v>631</v>
      </c>
      <c r="K8" s="6"/>
      <c r="L8" s="213" t="s">
        <v>667</v>
      </c>
      <c r="M8" s="217">
        <v>5</v>
      </c>
    </row>
    <row r="9" spans="1:13" ht="15.75" thickBot="1" x14ac:dyDescent="0.3">
      <c r="A9" s="194" t="s">
        <v>646</v>
      </c>
      <c r="B9" s="196" t="s">
        <v>83</v>
      </c>
      <c r="C9" s="187" t="s">
        <v>187</v>
      </c>
      <c r="D9" s="187" t="s">
        <v>561</v>
      </c>
      <c r="E9" s="198"/>
      <c r="F9" s="201"/>
      <c r="G9" s="201">
        <v>4</v>
      </c>
      <c r="H9" s="204"/>
      <c r="I9" s="187"/>
      <c r="J9" s="207" t="s">
        <v>634</v>
      </c>
      <c r="K9" s="6"/>
      <c r="L9" s="214" t="s">
        <v>668</v>
      </c>
      <c r="M9" s="220">
        <v>7</v>
      </c>
    </row>
    <row r="10" spans="1:13" x14ac:dyDescent="0.25">
      <c r="A10" s="194" t="s">
        <v>630</v>
      </c>
      <c r="B10" s="196" t="s">
        <v>374</v>
      </c>
      <c r="C10" s="187" t="s">
        <v>191</v>
      </c>
      <c r="D10" s="187" t="s">
        <v>556</v>
      </c>
      <c r="E10" s="198">
        <v>58.4</v>
      </c>
      <c r="F10" s="201">
        <v>6</v>
      </c>
      <c r="G10" s="201">
        <v>8</v>
      </c>
      <c r="H10" s="204">
        <v>2</v>
      </c>
      <c r="I10" s="187"/>
      <c r="J10" s="207" t="s">
        <v>631</v>
      </c>
      <c r="K10" s="6"/>
      <c r="L10" s="6"/>
      <c r="M10" s="6"/>
    </row>
    <row r="11" spans="1:13" x14ac:dyDescent="0.25">
      <c r="A11" s="194" t="s">
        <v>650</v>
      </c>
      <c r="B11" s="196" t="s">
        <v>136</v>
      </c>
      <c r="C11" s="187" t="s">
        <v>191</v>
      </c>
      <c r="D11" s="187" t="s">
        <v>584</v>
      </c>
      <c r="E11" s="198">
        <v>73.5</v>
      </c>
      <c r="F11" s="201">
        <v>8</v>
      </c>
      <c r="G11" s="201">
        <v>10</v>
      </c>
      <c r="H11" s="204">
        <v>2</v>
      </c>
      <c r="I11" s="187"/>
      <c r="J11" s="207" t="s">
        <v>634</v>
      </c>
      <c r="K11" s="6"/>
      <c r="L11" s="221" t="s">
        <v>669</v>
      </c>
      <c r="M11" s="221" t="s">
        <v>659</v>
      </c>
    </row>
    <row r="12" spans="1:13" x14ac:dyDescent="0.25">
      <c r="A12" s="194" t="s">
        <v>649</v>
      </c>
      <c r="B12" s="196" t="s">
        <v>127</v>
      </c>
      <c r="C12" s="187" t="s">
        <v>191</v>
      </c>
      <c r="D12" s="187" t="s">
        <v>583</v>
      </c>
      <c r="E12" s="198">
        <v>73.900000000000006</v>
      </c>
      <c r="F12" s="201">
        <v>8</v>
      </c>
      <c r="G12" s="201">
        <v>8</v>
      </c>
      <c r="H12" s="204">
        <v>0</v>
      </c>
      <c r="I12" s="187" t="s">
        <v>633</v>
      </c>
      <c r="J12" s="207" t="s">
        <v>634</v>
      </c>
      <c r="K12" s="6"/>
      <c r="L12" s="221" t="s">
        <v>670</v>
      </c>
      <c r="M12" s="221" t="s">
        <v>188</v>
      </c>
    </row>
    <row r="13" spans="1:13" ht="23.25" x14ac:dyDescent="0.25">
      <c r="A13" s="194" t="s">
        <v>645</v>
      </c>
      <c r="B13" s="196" t="s">
        <v>105</v>
      </c>
      <c r="C13" s="187" t="s">
        <v>191</v>
      </c>
      <c r="D13" s="187" t="s">
        <v>574</v>
      </c>
      <c r="E13" s="198">
        <v>93.9</v>
      </c>
      <c r="F13" s="201">
        <v>10</v>
      </c>
      <c r="G13" s="201">
        <v>11</v>
      </c>
      <c r="H13" s="204">
        <v>1</v>
      </c>
      <c r="I13" s="187"/>
      <c r="J13" s="207" t="s">
        <v>634</v>
      </c>
      <c r="K13" s="6"/>
      <c r="L13" s="221" t="s">
        <v>671</v>
      </c>
      <c r="M13" s="222" t="s">
        <v>256</v>
      </c>
    </row>
    <row r="14" spans="1:13" x14ac:dyDescent="0.25">
      <c r="A14" s="194" t="s">
        <v>642</v>
      </c>
      <c r="B14" s="196" t="s">
        <v>120</v>
      </c>
      <c r="C14" s="187" t="s">
        <v>191</v>
      </c>
      <c r="D14" s="187" t="s">
        <v>561</v>
      </c>
      <c r="E14" s="198">
        <v>106.2</v>
      </c>
      <c r="F14" s="201">
        <v>11</v>
      </c>
      <c r="G14" s="201">
        <v>5</v>
      </c>
      <c r="H14" s="204">
        <v>-6</v>
      </c>
      <c r="I14" s="187"/>
      <c r="J14" s="207" t="s">
        <v>647</v>
      </c>
      <c r="K14" s="6"/>
      <c r="L14" s="6"/>
      <c r="M14" s="6"/>
    </row>
    <row r="15" spans="1:13" x14ac:dyDescent="0.25">
      <c r="A15" s="194" t="s">
        <v>630</v>
      </c>
      <c r="B15" s="196" t="s">
        <v>86</v>
      </c>
      <c r="C15" s="187" t="s">
        <v>191</v>
      </c>
      <c r="D15" s="187" t="s">
        <v>564</v>
      </c>
      <c r="E15" s="198">
        <v>112.6</v>
      </c>
      <c r="F15" s="201">
        <v>12</v>
      </c>
      <c r="G15" s="201">
        <v>8</v>
      </c>
      <c r="H15" s="204">
        <v>-4</v>
      </c>
      <c r="I15" s="187"/>
      <c r="J15" s="207" t="s">
        <v>631</v>
      </c>
      <c r="K15" s="6"/>
      <c r="L15" s="6"/>
      <c r="M15" s="6"/>
    </row>
    <row r="16" spans="1:13" x14ac:dyDescent="0.25">
      <c r="A16" s="194" t="s">
        <v>630</v>
      </c>
      <c r="B16" s="196" t="s">
        <v>126</v>
      </c>
      <c r="C16" s="187" t="s">
        <v>576</v>
      </c>
      <c r="D16" s="187" t="s">
        <v>550</v>
      </c>
      <c r="E16" s="198">
        <v>77.5</v>
      </c>
      <c r="F16" s="201">
        <v>8</v>
      </c>
      <c r="G16" s="201">
        <v>8</v>
      </c>
      <c r="H16" s="204">
        <v>0</v>
      </c>
      <c r="I16" s="187"/>
      <c r="J16" s="207" t="s">
        <v>631</v>
      </c>
      <c r="K16" s="6"/>
      <c r="L16" s="6"/>
      <c r="M16" s="6"/>
    </row>
    <row r="17" spans="1:13" x14ac:dyDescent="0.25">
      <c r="A17" s="194" t="s">
        <v>658</v>
      </c>
      <c r="B17" s="196" t="s">
        <v>54</v>
      </c>
      <c r="C17" s="187" t="s">
        <v>576</v>
      </c>
      <c r="D17" s="187" t="s">
        <v>559</v>
      </c>
      <c r="E17" s="198"/>
      <c r="F17" s="201"/>
      <c r="G17" s="201">
        <v>12</v>
      </c>
      <c r="H17" s="204"/>
      <c r="I17" s="187" t="s">
        <v>633</v>
      </c>
      <c r="J17" s="207" t="s">
        <v>634</v>
      </c>
      <c r="K17" s="6"/>
      <c r="L17" s="6"/>
      <c r="M17" s="6"/>
    </row>
    <row r="18" spans="1:13" x14ac:dyDescent="0.25">
      <c r="A18" s="194" t="s">
        <v>630</v>
      </c>
      <c r="B18" s="196" t="s">
        <v>376</v>
      </c>
      <c r="C18" s="187" t="s">
        <v>673</v>
      </c>
      <c r="D18" s="187" t="s">
        <v>583</v>
      </c>
      <c r="E18" s="198"/>
      <c r="F18" s="201"/>
      <c r="G18" s="201">
        <v>8</v>
      </c>
      <c r="H18" s="204"/>
      <c r="I18" s="187"/>
      <c r="J18" s="207" t="s">
        <v>631</v>
      </c>
      <c r="K18" s="6"/>
      <c r="L18" s="6"/>
      <c r="M18" s="6"/>
    </row>
    <row r="19" spans="1:13" x14ac:dyDescent="0.25">
      <c r="A19" s="194" t="s">
        <v>630</v>
      </c>
      <c r="B19" s="196" t="s">
        <v>377</v>
      </c>
      <c r="C19" s="187" t="s">
        <v>589</v>
      </c>
      <c r="D19" s="187" t="s">
        <v>550</v>
      </c>
      <c r="E19" s="198"/>
      <c r="F19" s="201"/>
      <c r="G19" s="201">
        <v>8</v>
      </c>
      <c r="H19" s="204"/>
      <c r="I19" s="187"/>
      <c r="J19" s="207" t="s">
        <v>631</v>
      </c>
      <c r="K19" s="6"/>
      <c r="L19" s="6"/>
      <c r="M19" s="6"/>
    </row>
    <row r="20" spans="1:13" ht="15.75" thickBot="1" x14ac:dyDescent="0.3">
      <c r="A20" s="223"/>
      <c r="B20" s="224"/>
      <c r="C20" s="190"/>
      <c r="D20" s="188"/>
      <c r="E20" s="233"/>
      <c r="F20" s="202"/>
      <c r="G20" s="202"/>
      <c r="H20" s="205"/>
      <c r="I20" s="190"/>
      <c r="J20" s="208"/>
      <c r="K20" s="6"/>
      <c r="L20" s="6"/>
      <c r="M20" s="6"/>
    </row>
    <row r="21" spans="1:13" ht="20.100000000000001" customHeight="1" x14ac:dyDescent="0.25">
      <c r="A21" s="211" t="s">
        <v>672</v>
      </c>
      <c r="B21" s="215"/>
      <c r="C21" s="6"/>
      <c r="H21" s="6"/>
      <c r="I21" s="6"/>
      <c r="J21" s="6"/>
      <c r="K21" s="6"/>
      <c r="L21" s="6"/>
      <c r="M21" s="6"/>
    </row>
    <row r="22" spans="1:13" x14ac:dyDescent="0.25">
      <c r="A22" s="225" t="s">
        <v>575</v>
      </c>
      <c r="B22" s="216">
        <v>1</v>
      </c>
      <c r="C22" s="6"/>
      <c r="H22" s="6"/>
      <c r="I22" s="6"/>
      <c r="J22" s="6"/>
      <c r="K22" s="6"/>
      <c r="L22" s="6"/>
      <c r="M22" s="6"/>
    </row>
    <row r="23" spans="1:13" x14ac:dyDescent="0.25">
      <c r="A23" s="226" t="s">
        <v>187</v>
      </c>
      <c r="B23" s="217">
        <v>6</v>
      </c>
      <c r="C23" s="6"/>
      <c r="H23" s="6"/>
      <c r="I23" s="6"/>
      <c r="J23" s="6"/>
      <c r="K23" s="6"/>
      <c r="L23" s="6"/>
      <c r="M23" s="6"/>
    </row>
    <row r="24" spans="1:13" x14ac:dyDescent="0.25">
      <c r="A24" s="227" t="s">
        <v>191</v>
      </c>
      <c r="B24" s="216">
        <v>6</v>
      </c>
      <c r="C24" s="6"/>
      <c r="H24" s="6"/>
      <c r="I24" s="6"/>
      <c r="J24" s="6"/>
      <c r="K24" s="6"/>
      <c r="L24" s="6"/>
      <c r="M24" s="6"/>
    </row>
    <row r="25" spans="1:13" x14ac:dyDescent="0.25">
      <c r="A25" s="228" t="s">
        <v>576</v>
      </c>
      <c r="B25" s="217">
        <v>2</v>
      </c>
      <c r="C25" s="6"/>
      <c r="H25" s="6"/>
      <c r="I25" s="6"/>
      <c r="J25" s="6"/>
      <c r="K25" s="6"/>
      <c r="L25" s="6"/>
      <c r="M25" s="6"/>
    </row>
    <row r="26" spans="1:13" x14ac:dyDescent="0.25">
      <c r="A26" s="229" t="s">
        <v>673</v>
      </c>
      <c r="B26" s="216">
        <v>1</v>
      </c>
      <c r="C26" s="6"/>
      <c r="H26" s="6"/>
      <c r="I26" s="6"/>
      <c r="J26" s="6"/>
      <c r="K26" s="6"/>
      <c r="L26" s="6"/>
      <c r="M26" s="6"/>
    </row>
    <row r="27" spans="1:13" x14ac:dyDescent="0.25">
      <c r="A27" s="230" t="s">
        <v>589</v>
      </c>
      <c r="B27" s="217">
        <v>1</v>
      </c>
      <c r="C27" s="6"/>
      <c r="H27" s="6"/>
      <c r="I27" s="6"/>
      <c r="J27" s="6"/>
      <c r="K27" s="6"/>
      <c r="L27" s="6"/>
      <c r="M27" s="6"/>
    </row>
    <row r="28" spans="1:13" ht="15.75" thickBot="1" x14ac:dyDescent="0.3">
      <c r="A28" s="231" t="s">
        <v>674</v>
      </c>
      <c r="B28" s="232">
        <f>SUM(B22:B27)</f>
        <v>17</v>
      </c>
      <c r="C28" s="6"/>
      <c r="H28" s="6"/>
      <c r="I28" s="6"/>
      <c r="J28" s="6"/>
      <c r="K28" s="6"/>
      <c r="L28" s="6"/>
      <c r="M28" s="6"/>
    </row>
    <row r="29" spans="1:13" x14ac:dyDescent="0.25">
      <c r="A29" s="6"/>
      <c r="B29" s="6"/>
      <c r="C29" s="6"/>
      <c r="D29" s="6"/>
      <c r="E29" s="6"/>
      <c r="F29" s="6"/>
      <c r="G29" s="6"/>
      <c r="H29" s="6"/>
      <c r="I29" s="6"/>
      <c r="J29" s="6"/>
      <c r="K29" s="6"/>
      <c r="L29" s="6"/>
      <c r="M29" s="6"/>
    </row>
    <row r="30" spans="1:13" ht="20.100000000000001" customHeight="1" thickBot="1" x14ac:dyDescent="0.3">
      <c r="A30" s="209" t="s">
        <v>675</v>
      </c>
      <c r="B30" s="209"/>
      <c r="C30" s="209"/>
      <c r="D30" s="209"/>
      <c r="E30" s="209"/>
      <c r="F30" s="209"/>
      <c r="G30" s="209"/>
      <c r="H30" s="209"/>
      <c r="I30" s="209"/>
      <c r="J30" s="209"/>
      <c r="K30" s="6"/>
      <c r="L30" s="6"/>
      <c r="M30" s="6"/>
    </row>
    <row r="31" spans="1:13" ht="30" customHeight="1" x14ac:dyDescent="0.25">
      <c r="A31" s="235" t="s">
        <v>622</v>
      </c>
      <c r="B31" s="234" t="s">
        <v>676</v>
      </c>
      <c r="C31" s="234" t="s">
        <v>186</v>
      </c>
      <c r="D31" s="234" t="s">
        <v>545</v>
      </c>
      <c r="E31" s="234" t="s">
        <v>547</v>
      </c>
      <c r="F31" s="234" t="s">
        <v>677</v>
      </c>
      <c r="G31" s="234" t="s">
        <v>678</v>
      </c>
      <c r="H31" s="234" t="s">
        <v>679</v>
      </c>
      <c r="I31" s="234" t="s">
        <v>680</v>
      </c>
      <c r="J31" s="236" t="s">
        <v>626</v>
      </c>
      <c r="K31" s="6"/>
      <c r="L31" s="6"/>
      <c r="M31" s="6"/>
    </row>
    <row r="32" spans="1:13" x14ac:dyDescent="0.25">
      <c r="A32" s="237" t="str">
        <f>IF($B32="","",IFERROR(_xlfn.XLOOKUP($B32,$B$3:$B$20,$A$3:$A$20),""))</f>
        <v/>
      </c>
      <c r="B32" s="239"/>
      <c r="C32" s="184" t="str">
        <f>IF($B32="","",IFERROR(_xlfn.XLOOKUP($B32,$B$3:$B$20,$C$3:$C$20),""))</f>
        <v/>
      </c>
      <c r="D32" s="185" t="str">
        <f>IF($B32="","",IFERROR(_xlfn.XLOOKUP($B32,$B$3:$B$20,$D$3:$D$20),""))</f>
        <v/>
      </c>
      <c r="E32" s="197" t="str">
        <f>IF($B32="","",IFERROR(_xlfn.XLOOKUP($B32,$B$3:$B$20,$E$3:$E$20),""))</f>
        <v/>
      </c>
      <c r="F32" s="200" t="str">
        <f>IF($B32="","",IFERROR(_xlfn.XLOOKUP($B32,$B$3:$B$20,$F$3:$F$20),""))</f>
        <v/>
      </c>
      <c r="G32" s="200" t="str">
        <f>IF($B32="","",IFERROR(_xlfn.XLOOKUP($B32,$B$3:$B$20,$G$3:$G$20),""))</f>
        <v/>
      </c>
      <c r="H32" s="200" t="str">
        <f>IF($B32="","",IF(OR($B33="",$G32&lt;&gt;$G33),$G32,IF($G32=1,IF($E32&lt;=$E33,1,2),IF($E32&lt;=$E33,MAX(1,$G32-1),$G32))))</f>
        <v/>
      </c>
      <c r="I32" s="185" t="str">
        <f>IF($H32="","","Round "&amp;$H32)</f>
        <v/>
      </c>
      <c r="J32" s="241" t="str">
        <f>IF(OR($B32="",$F32=""),"",$F32-$H32)</f>
        <v/>
      </c>
      <c r="K32" s="6"/>
      <c r="L32" s="6"/>
      <c r="M32" s="6"/>
    </row>
    <row r="33" spans="1:13" x14ac:dyDescent="0.25">
      <c r="A33" s="238" t="str">
        <f>IF($B33="","",IFERROR(_xlfn.XLOOKUP($B33,$B$3:$B$20,$A$3:$A$20),""))</f>
        <v/>
      </c>
      <c r="B33" s="240"/>
      <c r="C33" s="186" t="str">
        <f>IF($B33="","",IFERROR(_xlfn.XLOOKUP($B33,$B$3:$B$20,$C$3:$C$20),""))</f>
        <v/>
      </c>
      <c r="D33" s="187" t="str">
        <f>IF($B33="","",IFERROR(_xlfn.XLOOKUP($B33,$B$3:$B$20,$D$3:$D$20),""))</f>
        <v/>
      </c>
      <c r="E33" s="198" t="str">
        <f>IF($B33="","",IFERROR(_xlfn.XLOOKUP($B33,$B$3:$B$20,$E$3:$E$20),""))</f>
        <v/>
      </c>
      <c r="F33" s="201" t="str">
        <f>IF($B33="","",IFERROR(_xlfn.XLOOKUP($B33,$B$3:$B$20,$F$3:$F$20),""))</f>
        <v/>
      </c>
      <c r="G33" s="201" t="str">
        <f>IF($B33="","",IFERROR(_xlfn.XLOOKUP($B33,$B$3:$B$20,$G$3:$G$20),""))</f>
        <v/>
      </c>
      <c r="H33" s="201" t="str">
        <f>IF($B33="","",IF(OR($B32="",$G33&lt;&gt;$G32),$G33,IF($G33=1,IF($E33&lt;=$E32,1,2),IF($E33&lt;=$E32,MAX(1,$G33-1),$G33))))</f>
        <v/>
      </c>
      <c r="I33" s="187" t="str">
        <f>IF($H33="","","Round "&amp;$H33)</f>
        <v/>
      </c>
      <c r="J33" s="242" t="str">
        <f>IF(OR($B33="",$F33=""),"",$F33-$H33)</f>
        <v/>
      </c>
      <c r="K33" s="6"/>
      <c r="L33" s="6"/>
      <c r="M33" s="6"/>
    </row>
    <row r="34" spans="1:13" ht="15.75" thickBot="1" x14ac:dyDescent="0.3">
      <c r="A34" s="248" t="s">
        <v>681</v>
      </c>
      <c r="B34" s="243"/>
      <c r="C34" s="244"/>
      <c r="D34" s="244"/>
      <c r="E34" s="244"/>
      <c r="F34" s="244"/>
      <c r="G34" s="245" t="str">
        <f>IF(COUNT($G$32:$G$33)=0,"",SUM($G$32:$G$33))</f>
        <v/>
      </c>
      <c r="H34" s="245" t="str">
        <f>IF(COUNT($H$32:$H$33)=0,"",SUM($H$32:$H$33))</f>
        <v/>
      </c>
      <c r="I34" s="246"/>
      <c r="J34" s="247" t="str">
        <f>IF(COUNT($J$32:$J$33)=0,"",SUM($J$32:$J$33))</f>
        <v/>
      </c>
      <c r="K34" s="6"/>
      <c r="L34" s="6"/>
      <c r="M34" s="6"/>
    </row>
    <row r="35" spans="1:13" ht="15.75" thickBot="1" x14ac:dyDescent="0.3">
      <c r="A35" s="6"/>
      <c r="B35" s="6"/>
      <c r="C35" s="6"/>
      <c r="D35" s="6"/>
      <c r="E35" s="6"/>
      <c r="F35" s="6"/>
      <c r="G35" s="6"/>
      <c r="H35" s="6"/>
      <c r="I35" s="6"/>
      <c r="J35" s="6"/>
      <c r="K35" s="6"/>
      <c r="L35" s="6"/>
      <c r="M35" s="6"/>
    </row>
    <row r="36" spans="1:13" ht="20.100000000000001" customHeight="1" x14ac:dyDescent="0.25">
      <c r="A36" s="211" t="s">
        <v>682</v>
      </c>
      <c r="B36" s="210"/>
      <c r="C36" s="210"/>
      <c r="D36" s="210"/>
      <c r="E36" s="210"/>
      <c r="F36" s="210"/>
      <c r="G36" s="210"/>
      <c r="H36" s="210"/>
      <c r="I36" s="210"/>
      <c r="J36" s="215"/>
      <c r="K36" s="6"/>
      <c r="L36" s="6"/>
      <c r="M36" s="6"/>
    </row>
    <row r="37" spans="1:13" ht="30" customHeight="1" x14ac:dyDescent="0.25">
      <c r="A37" s="252" t="s">
        <v>683</v>
      </c>
      <c r="B37" s="249"/>
      <c r="C37" s="249"/>
      <c r="D37" s="249"/>
      <c r="E37" s="249"/>
      <c r="F37" s="249"/>
      <c r="G37" s="249"/>
      <c r="H37" s="249"/>
      <c r="I37" s="249"/>
      <c r="J37" s="255"/>
      <c r="K37" s="6"/>
      <c r="L37" s="6"/>
      <c r="M37" s="6"/>
    </row>
    <row r="38" spans="1:13" ht="30" customHeight="1" x14ac:dyDescent="0.25">
      <c r="A38" s="253" t="s">
        <v>684</v>
      </c>
      <c r="B38" s="250"/>
      <c r="C38" s="250"/>
      <c r="D38" s="250"/>
      <c r="E38" s="250"/>
      <c r="F38" s="250"/>
      <c r="G38" s="250"/>
      <c r="H38" s="250"/>
      <c r="I38" s="250"/>
      <c r="J38" s="256"/>
      <c r="K38" s="6"/>
      <c r="L38" s="6"/>
      <c r="M38" s="6"/>
    </row>
    <row r="39" spans="1:13" ht="30" customHeight="1" x14ac:dyDescent="0.25">
      <c r="A39" s="252" t="s">
        <v>685</v>
      </c>
      <c r="B39" s="249"/>
      <c r="C39" s="249"/>
      <c r="D39" s="249"/>
      <c r="E39" s="249"/>
      <c r="F39" s="249"/>
      <c r="G39" s="249"/>
      <c r="H39" s="249"/>
      <c r="I39" s="249"/>
      <c r="J39" s="255"/>
      <c r="K39" s="6"/>
      <c r="L39" s="6"/>
      <c r="M39" s="6"/>
    </row>
    <row r="40" spans="1:13" ht="15.95" customHeight="1" x14ac:dyDescent="0.25">
      <c r="A40" s="253" t="str" cm="1">
        <f t="array" ref="A40">"Rounds traded away: "&amp;_xlfn.LET(_xlpm.sl,MATCH(TRUE,EXACT('Draft Order-Traded Picks'!$B$2:$K$2,$M$13),0),_xlpm.g,INDEX('Draft Order-Traded Picks'!$B$3:$K$18,_xlfn.SEQUENCE(16),_xlpm.sl),IF(SUMPRODUCT(--(_xlpm.g&lt;&gt;""))=0,"none",_xlfn.TEXTJOIN(", ",TRUE,IF(_xlpm.g&lt;&gt;"","Rd "&amp;_xlfn.SEQUENCE(16),""))))</f>
        <v>Rounds traded away: Rd 10, Rd 11, Rd 12</v>
      </c>
      <c r="B40" s="250"/>
      <c r="C40" s="250"/>
      <c r="D40" s="250"/>
      <c r="E40" s="250"/>
      <c r="F40" s="250"/>
      <c r="G40" s="250"/>
      <c r="H40" s="250"/>
      <c r="I40" s="250"/>
      <c r="J40" s="256"/>
      <c r="K40" s="6"/>
      <c r="L40" s="6"/>
      <c r="M40" s="6"/>
    </row>
    <row r="41" spans="1:13" ht="15.95" customHeight="1" x14ac:dyDescent="0.25">
      <c r="A41" s="252" t="str" cm="1">
        <f t="array" ref="A41">"Rounds acquired: "&amp;_xlfn.LET(_xlpm.m,MMULT(--EXACT('Draft Order-Traded Picks'!$B$3:$K$18,$M$12),_xlfn.SEQUENCE(10,1,1,0)),IF(SUM(_xlpm.m)=0,"none",_xlfn.TEXTJOIN(", ",TRUE,IF(_xlpm.m&gt;0,"Rd "&amp;_xlfn.SEQUENCE(16)&amp;IF(_xlpm.m&gt;1," (x"&amp;_xlpm.m&amp;")",""),""))&amp;"  -  "&amp;SUM(_xlpm.m)&amp;" pick(s) total"))</f>
        <v>Rounds acquired: Rd 2 (x2), Rd 7  -  3 pick(s) total</v>
      </c>
      <c r="B41" s="249"/>
      <c r="C41" s="249"/>
      <c r="D41" s="249"/>
      <c r="E41" s="249"/>
      <c r="F41" s="249"/>
      <c r="G41" s="249"/>
      <c r="H41" s="249"/>
      <c r="I41" s="249"/>
      <c r="J41" s="255"/>
      <c r="K41" s="6"/>
      <c r="L41" s="6"/>
      <c r="M41" s="6"/>
    </row>
    <row r="42" spans="1:13" ht="30" customHeight="1" thickBot="1" x14ac:dyDescent="0.3">
      <c r="A42" s="254" t="s">
        <v>696</v>
      </c>
      <c r="B42" s="251"/>
      <c r="C42" s="251"/>
      <c r="D42" s="251"/>
      <c r="E42" s="251"/>
      <c r="F42" s="251"/>
      <c r="G42" s="251"/>
      <c r="H42" s="251"/>
      <c r="I42" s="251"/>
      <c r="J42" s="257"/>
      <c r="K42" s="6"/>
      <c r="L42" s="6"/>
      <c r="M42" s="6"/>
    </row>
  </sheetData>
  <mergeCells count="11">
    <mergeCell ref="A37:J37"/>
    <mergeCell ref="A38:J38"/>
    <mergeCell ref="A39:J39"/>
    <mergeCell ref="A40:J40"/>
    <mergeCell ref="A41:J41"/>
    <mergeCell ref="A42:J42"/>
    <mergeCell ref="A1:J1"/>
    <mergeCell ref="L2:M2"/>
    <mergeCell ref="A21:B21"/>
    <mergeCell ref="A30:J30"/>
    <mergeCell ref="A36:J36"/>
  </mergeCells>
  <conditionalFormatting sqref="A3:J20">
    <cfRule type="expression" dxfId="209" priority="1">
      <formula>AND($B3&lt;&gt;"",MOD(ROW(),2)=0)</formula>
    </cfRule>
  </conditionalFormatting>
  <conditionalFormatting sqref="C3:C20">
    <cfRule type="containsText" dxfId="208" priority="2" operator="containsText" text="QB">
      <formula>NOT(ISERROR(SEARCH("QB",C3)))</formula>
    </cfRule>
  </conditionalFormatting>
  <conditionalFormatting sqref="C3:C20">
    <cfRule type="containsText" dxfId="207" priority="3" operator="containsText" text="RB">
      <formula>NOT(ISERROR(SEARCH("RB",C3)))</formula>
    </cfRule>
  </conditionalFormatting>
  <conditionalFormatting sqref="C3:C20">
    <cfRule type="containsText" dxfId="206" priority="4" operator="containsText" text="WR">
      <formula>NOT(ISERROR(SEARCH("WR",C3)))</formula>
    </cfRule>
  </conditionalFormatting>
  <conditionalFormatting sqref="C3:C20">
    <cfRule type="containsText" dxfId="205" priority="5" operator="containsText" text="TE">
      <formula>NOT(ISERROR(SEARCH("TE",C3)))</formula>
    </cfRule>
  </conditionalFormatting>
  <conditionalFormatting sqref="C3:C20">
    <cfRule type="containsText" dxfId="204" priority="6" operator="containsText" text="K">
      <formula>NOT(ISERROR(SEARCH("K",C3)))</formula>
    </cfRule>
  </conditionalFormatting>
  <conditionalFormatting sqref="C3:C20">
    <cfRule type="containsText" dxfId="203" priority="7" operator="containsText" text="DEF">
      <formula>NOT(ISERROR(SEARCH("DEF",C3)))</formula>
    </cfRule>
  </conditionalFormatting>
  <conditionalFormatting sqref="C32:C33">
    <cfRule type="containsText" dxfId="202" priority="8" operator="containsText" text="QB">
      <formula>NOT(ISERROR(SEARCH("QB",C32)))</formula>
    </cfRule>
  </conditionalFormatting>
  <conditionalFormatting sqref="C32:C33">
    <cfRule type="containsText" dxfId="201" priority="9" operator="containsText" text="RB">
      <formula>NOT(ISERROR(SEARCH("RB",C32)))</formula>
    </cfRule>
  </conditionalFormatting>
  <conditionalFormatting sqref="C32:C33">
    <cfRule type="containsText" dxfId="200" priority="10" operator="containsText" text="WR">
      <formula>NOT(ISERROR(SEARCH("WR",C32)))</formula>
    </cfRule>
  </conditionalFormatting>
  <conditionalFormatting sqref="C32:C33">
    <cfRule type="containsText" dxfId="199" priority="11" operator="containsText" text="TE">
      <formula>NOT(ISERROR(SEARCH("TE",C32)))</formula>
    </cfRule>
  </conditionalFormatting>
  <conditionalFormatting sqref="C32:C33">
    <cfRule type="containsText" dxfId="198" priority="12" operator="containsText" text="K">
      <formula>NOT(ISERROR(SEARCH("K",C32)))</formula>
    </cfRule>
  </conditionalFormatting>
  <conditionalFormatting sqref="C32:C33">
    <cfRule type="containsText" dxfId="197" priority="13" operator="containsText" text="DEF">
      <formula>NOT(ISERROR(SEARCH("DEF",C32)))</formula>
    </cfRule>
  </conditionalFormatting>
  <conditionalFormatting sqref="I3:I20">
    <cfRule type="expression" dxfId="196" priority="14">
      <formula>$I3&lt;&gt;""</formula>
    </cfRule>
  </conditionalFormatting>
  <conditionalFormatting sqref="J3:J20">
    <cfRule type="expression" dxfId="195" priority="15">
      <formula>ISNUMBER(SEARCH("Waiver",$J3))</formula>
    </cfRule>
  </conditionalFormatting>
  <conditionalFormatting sqref="H32:H33">
    <cfRule type="expression" dxfId="194" priority="20">
      <formula>AND($B32&lt;&gt;"",$H32&lt;&gt;$G32)</formula>
    </cfRule>
  </conditionalFormatting>
  <conditionalFormatting sqref="B32:B33">
    <cfRule type="expression" dxfId="193" priority="21">
      <formula>AND($B32&lt;&gt;"",COUNTIF($B$32:$B$33,$B32)&gt;1)</formula>
    </cfRule>
  </conditionalFormatting>
  <conditionalFormatting sqref="H3:H20">
    <cfRule type="expression" dxfId="39" priority="22">
      <formula>AND(ISNUMBER($H3),$H3&gt;0)</formula>
    </cfRule>
  </conditionalFormatting>
  <conditionalFormatting sqref="H3:H20">
    <cfRule type="expression" dxfId="38" priority="23">
      <formula>AND(ISNUMBER($H3),$H3&lt;0)</formula>
    </cfRule>
  </conditionalFormatting>
  <conditionalFormatting sqref="J32:J34">
    <cfRule type="expression" dxfId="37" priority="24">
      <formula>AND(ISNUMBER($J32),$J32&gt;0)</formula>
    </cfRule>
  </conditionalFormatting>
  <conditionalFormatting sqref="J32:J34">
    <cfRule type="expression" dxfId="36" priority="25">
      <formula>AND(ISNUMBER($J32),$J32&lt;0)</formula>
    </cfRule>
  </conditionalFormatting>
  <dataValidations count="1">
    <dataValidation type="list" allowBlank="1" showInputMessage="1" showErrorMessage="1" errorTitle="Not on this roster" error="Pick a player from this team's roster list above." promptTitle="Keeper selection" prompt="Choose one of this team's players. Keeper cost and value update automatically." sqref="B32:B33" xr:uid="{090CC6F6-4CF8-4594-A589-B114CEC93BD6}">
      <formula1>$B$3:$B$20</formula1>
    </dataValidation>
  </dataValidations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0EE6FA8-2418-4732-A286-E662444E75C2}">
  <sheetPr>
    <tabColor rgb="FF1F4E79"/>
  </sheetPr>
  <dimension ref="A1:M42"/>
  <sheetViews>
    <sheetView zoomScale="70" zoomScaleNormal="70" workbookViewId="0">
      <pane ySplit="2" topLeftCell="A3" activePane="bottomLeft" state="frozen"/>
      <selection pane="bottomLeft" activeCell="B3" sqref="B3:B20"/>
    </sheetView>
  </sheetViews>
  <sheetFormatPr defaultRowHeight="15" x14ac:dyDescent="0.25"/>
  <cols>
    <col min="1" max="1" width="21.5703125" customWidth="1"/>
    <col min="2" max="2" width="41.85546875" customWidth="1"/>
    <col min="3" max="3" width="12.7109375" customWidth="1"/>
    <col min="4" max="4" width="29.140625" customWidth="1"/>
    <col min="5" max="5" width="25.28515625" customWidth="1"/>
    <col min="6" max="6" width="21.5703125" customWidth="1"/>
    <col min="7" max="7" width="25.28515625" customWidth="1"/>
    <col min="8" max="8" width="20.42578125" customWidth="1"/>
    <col min="9" max="9" width="24.140625" customWidth="1"/>
    <col min="10" max="10" width="35.5703125" customWidth="1"/>
    <col min="11" max="11" width="4.5703125" customWidth="1"/>
    <col min="12" max="12" width="38.140625" customWidth="1"/>
    <col min="13" max="13" width="33" customWidth="1"/>
  </cols>
  <sheetData>
    <row r="1" spans="1:13" ht="30" customHeight="1" thickBot="1" x14ac:dyDescent="0.3">
      <c r="A1" s="183" t="s">
        <v>686</v>
      </c>
      <c r="B1" s="183"/>
      <c r="C1" s="183"/>
      <c r="D1" s="183"/>
      <c r="E1" s="183"/>
      <c r="F1" s="183"/>
      <c r="G1" s="183"/>
      <c r="H1" s="183"/>
      <c r="I1" s="183"/>
      <c r="J1" s="183"/>
      <c r="K1" s="6"/>
      <c r="L1" s="6"/>
      <c r="M1" s="6"/>
    </row>
    <row r="2" spans="1:13" ht="42" customHeight="1" x14ac:dyDescent="0.25">
      <c r="A2" s="191" t="s">
        <v>622</v>
      </c>
      <c r="B2" s="189" t="s">
        <v>354</v>
      </c>
      <c r="C2" s="189" t="s">
        <v>186</v>
      </c>
      <c r="D2" s="189" t="s">
        <v>545</v>
      </c>
      <c r="E2" s="189" t="s">
        <v>623</v>
      </c>
      <c r="F2" s="189" t="s">
        <v>624</v>
      </c>
      <c r="G2" s="189" t="s">
        <v>625</v>
      </c>
      <c r="H2" s="189" t="s">
        <v>626</v>
      </c>
      <c r="I2" s="189" t="s">
        <v>627</v>
      </c>
      <c r="J2" s="192" t="s">
        <v>628</v>
      </c>
      <c r="K2" s="6"/>
      <c r="L2" s="211" t="s">
        <v>661</v>
      </c>
      <c r="M2" s="215"/>
    </row>
    <row r="3" spans="1:13" x14ac:dyDescent="0.25">
      <c r="A3" s="193" t="s">
        <v>643</v>
      </c>
      <c r="B3" s="195" t="s">
        <v>32</v>
      </c>
      <c r="C3" s="185" t="s">
        <v>575</v>
      </c>
      <c r="D3" s="185" t="s">
        <v>563</v>
      </c>
      <c r="E3" s="197">
        <v>43.5</v>
      </c>
      <c r="F3" s="200">
        <v>5</v>
      </c>
      <c r="G3" s="200">
        <v>2</v>
      </c>
      <c r="H3" s="203">
        <v>-3</v>
      </c>
      <c r="I3" s="185"/>
      <c r="J3" s="206" t="s">
        <v>634</v>
      </c>
      <c r="K3" s="6"/>
      <c r="L3" s="212" t="s">
        <v>662</v>
      </c>
      <c r="M3" s="216">
        <v>18</v>
      </c>
    </row>
    <row r="4" spans="1:13" x14ac:dyDescent="0.25">
      <c r="A4" s="194" t="s">
        <v>630</v>
      </c>
      <c r="B4" s="196" t="s">
        <v>138</v>
      </c>
      <c r="C4" s="187" t="s">
        <v>575</v>
      </c>
      <c r="D4" s="187" t="s">
        <v>579</v>
      </c>
      <c r="E4" s="198">
        <v>60</v>
      </c>
      <c r="F4" s="201">
        <v>6</v>
      </c>
      <c r="G4" s="201">
        <v>8</v>
      </c>
      <c r="H4" s="204">
        <v>2</v>
      </c>
      <c r="I4" s="187"/>
      <c r="J4" s="207" t="s">
        <v>631</v>
      </c>
      <c r="K4" s="6"/>
      <c r="L4" s="213" t="s">
        <v>663</v>
      </c>
      <c r="M4" s="217">
        <v>2</v>
      </c>
    </row>
    <row r="5" spans="1:13" x14ac:dyDescent="0.25">
      <c r="A5" s="194" t="s">
        <v>658</v>
      </c>
      <c r="B5" s="196" t="s">
        <v>47</v>
      </c>
      <c r="C5" s="187" t="s">
        <v>575</v>
      </c>
      <c r="D5" s="187" t="s">
        <v>566</v>
      </c>
      <c r="E5" s="198">
        <v>93.2</v>
      </c>
      <c r="F5" s="201">
        <v>10</v>
      </c>
      <c r="G5" s="201">
        <v>13</v>
      </c>
      <c r="H5" s="204">
        <v>3</v>
      </c>
      <c r="I5" s="187"/>
      <c r="J5" s="207" t="s">
        <v>634</v>
      </c>
      <c r="K5" s="6"/>
      <c r="L5" s="212" t="s">
        <v>664</v>
      </c>
      <c r="M5" s="218">
        <v>60.921428571428599</v>
      </c>
    </row>
    <row r="6" spans="1:13" x14ac:dyDescent="0.25">
      <c r="A6" s="194" t="s">
        <v>632</v>
      </c>
      <c r="B6" s="196" t="s">
        <v>2</v>
      </c>
      <c r="C6" s="187" t="s">
        <v>187</v>
      </c>
      <c r="D6" s="187" t="s">
        <v>555</v>
      </c>
      <c r="E6" s="198">
        <v>6.4</v>
      </c>
      <c r="F6" s="201">
        <v>1</v>
      </c>
      <c r="G6" s="201">
        <v>1</v>
      </c>
      <c r="H6" s="204">
        <v>0</v>
      </c>
      <c r="I6" s="187"/>
      <c r="J6" s="207" t="s">
        <v>634</v>
      </c>
      <c r="K6" s="6"/>
      <c r="L6" s="213" t="s">
        <v>665</v>
      </c>
      <c r="M6" s="219">
        <v>7</v>
      </c>
    </row>
    <row r="7" spans="1:13" x14ac:dyDescent="0.25">
      <c r="A7" s="194" t="s">
        <v>649</v>
      </c>
      <c r="B7" s="196" t="s">
        <v>119</v>
      </c>
      <c r="C7" s="187" t="s">
        <v>187</v>
      </c>
      <c r="D7" s="187" t="s">
        <v>567</v>
      </c>
      <c r="E7" s="198">
        <v>41.5</v>
      </c>
      <c r="F7" s="201">
        <v>5</v>
      </c>
      <c r="G7" s="201">
        <v>9</v>
      </c>
      <c r="H7" s="204">
        <v>4</v>
      </c>
      <c r="I7" s="187"/>
      <c r="J7" s="207" t="s">
        <v>634</v>
      </c>
      <c r="K7" s="6"/>
      <c r="L7" s="212" t="s">
        <v>666</v>
      </c>
      <c r="M7" s="216" t="s">
        <v>131</v>
      </c>
    </row>
    <row r="8" spans="1:13" x14ac:dyDescent="0.25">
      <c r="A8" s="194" t="s">
        <v>642</v>
      </c>
      <c r="B8" s="196" t="s">
        <v>52</v>
      </c>
      <c r="C8" s="187" t="s">
        <v>187</v>
      </c>
      <c r="D8" s="187" t="s">
        <v>580</v>
      </c>
      <c r="E8" s="198">
        <v>46</v>
      </c>
      <c r="F8" s="201">
        <v>5</v>
      </c>
      <c r="G8" s="201">
        <v>5</v>
      </c>
      <c r="H8" s="204">
        <v>0</v>
      </c>
      <c r="I8" s="187"/>
      <c r="J8" s="207" t="s">
        <v>634</v>
      </c>
      <c r="K8" s="6"/>
      <c r="L8" s="213" t="s">
        <v>667</v>
      </c>
      <c r="M8" s="217">
        <v>4</v>
      </c>
    </row>
    <row r="9" spans="1:13" ht="15.75" thickBot="1" x14ac:dyDescent="0.3">
      <c r="A9" s="194" t="s">
        <v>630</v>
      </c>
      <c r="B9" s="196" t="s">
        <v>224</v>
      </c>
      <c r="C9" s="187" t="s">
        <v>187</v>
      </c>
      <c r="D9" s="187" t="s">
        <v>551</v>
      </c>
      <c r="E9" s="198">
        <v>153.9</v>
      </c>
      <c r="F9" s="201">
        <v>16</v>
      </c>
      <c r="G9" s="201">
        <v>8</v>
      </c>
      <c r="H9" s="204">
        <v>-8</v>
      </c>
      <c r="I9" s="187"/>
      <c r="J9" s="207" t="s">
        <v>631</v>
      </c>
      <c r="K9" s="6"/>
      <c r="L9" s="214" t="s">
        <v>668</v>
      </c>
      <c r="M9" s="220">
        <v>7</v>
      </c>
    </row>
    <row r="10" spans="1:13" x14ac:dyDescent="0.25">
      <c r="A10" s="194" t="s">
        <v>637</v>
      </c>
      <c r="B10" s="196" t="s">
        <v>80</v>
      </c>
      <c r="C10" s="187" t="s">
        <v>191</v>
      </c>
      <c r="D10" s="187" t="s">
        <v>567</v>
      </c>
      <c r="E10" s="198">
        <v>21.5</v>
      </c>
      <c r="F10" s="201">
        <v>3</v>
      </c>
      <c r="G10" s="201">
        <v>6</v>
      </c>
      <c r="H10" s="204">
        <v>3</v>
      </c>
      <c r="I10" s="187"/>
      <c r="J10" s="207" t="s">
        <v>634</v>
      </c>
      <c r="K10" s="6"/>
      <c r="L10" s="6"/>
      <c r="M10" s="6"/>
    </row>
    <row r="11" spans="1:13" x14ac:dyDescent="0.25">
      <c r="A11" s="194" t="s">
        <v>646</v>
      </c>
      <c r="B11" s="196" t="s">
        <v>89</v>
      </c>
      <c r="C11" s="187" t="s">
        <v>191</v>
      </c>
      <c r="D11" s="187" t="s">
        <v>570</v>
      </c>
      <c r="E11" s="198">
        <v>27.8</v>
      </c>
      <c r="F11" s="201">
        <v>3</v>
      </c>
      <c r="G11" s="201">
        <v>4</v>
      </c>
      <c r="H11" s="204">
        <v>1</v>
      </c>
      <c r="I11" s="187"/>
      <c r="J11" s="207" t="s">
        <v>634</v>
      </c>
      <c r="K11" s="6"/>
      <c r="L11" s="221" t="s">
        <v>669</v>
      </c>
      <c r="M11" s="221" t="s">
        <v>657</v>
      </c>
    </row>
    <row r="12" spans="1:13" x14ac:dyDescent="0.25">
      <c r="A12" s="194" t="s">
        <v>635</v>
      </c>
      <c r="B12" s="196" t="s">
        <v>128</v>
      </c>
      <c r="C12" s="187" t="s">
        <v>191</v>
      </c>
      <c r="D12" s="187" t="s">
        <v>571</v>
      </c>
      <c r="E12" s="198">
        <v>28.4</v>
      </c>
      <c r="F12" s="201">
        <v>3</v>
      </c>
      <c r="G12" s="201">
        <v>2</v>
      </c>
      <c r="H12" s="204">
        <v>-1</v>
      </c>
      <c r="I12" s="187" t="s">
        <v>633</v>
      </c>
      <c r="J12" s="207" t="s">
        <v>634</v>
      </c>
      <c r="K12" s="6"/>
      <c r="L12" s="221" t="s">
        <v>670</v>
      </c>
      <c r="M12" s="221" t="s">
        <v>359</v>
      </c>
    </row>
    <row r="13" spans="1:13" ht="23.25" x14ac:dyDescent="0.25">
      <c r="A13" s="194" t="s">
        <v>630</v>
      </c>
      <c r="B13" s="196" t="s">
        <v>241</v>
      </c>
      <c r="C13" s="187" t="s">
        <v>191</v>
      </c>
      <c r="D13" s="187" t="s">
        <v>580</v>
      </c>
      <c r="E13" s="198">
        <v>58.4</v>
      </c>
      <c r="F13" s="201">
        <v>6</v>
      </c>
      <c r="G13" s="201">
        <v>8</v>
      </c>
      <c r="H13" s="204">
        <v>2</v>
      </c>
      <c r="I13" s="187"/>
      <c r="J13" s="207" t="s">
        <v>631</v>
      </c>
      <c r="K13" s="6"/>
      <c r="L13" s="221" t="s">
        <v>671</v>
      </c>
      <c r="M13" s="222" t="s">
        <v>87</v>
      </c>
    </row>
    <row r="14" spans="1:13" x14ac:dyDescent="0.25">
      <c r="A14" s="194" t="s">
        <v>650</v>
      </c>
      <c r="B14" s="196" t="s">
        <v>130</v>
      </c>
      <c r="C14" s="187" t="s">
        <v>191</v>
      </c>
      <c r="D14" s="187" t="s">
        <v>560</v>
      </c>
      <c r="E14" s="198">
        <v>101.3</v>
      </c>
      <c r="F14" s="201">
        <v>11</v>
      </c>
      <c r="G14" s="201">
        <v>10</v>
      </c>
      <c r="H14" s="204">
        <v>-1</v>
      </c>
      <c r="I14" s="187"/>
      <c r="J14" s="207" t="s">
        <v>634</v>
      </c>
      <c r="K14" s="6"/>
      <c r="L14" s="6"/>
      <c r="M14" s="6"/>
    </row>
    <row r="15" spans="1:13" x14ac:dyDescent="0.25">
      <c r="A15" s="194" t="s">
        <v>630</v>
      </c>
      <c r="B15" s="196" t="s">
        <v>386</v>
      </c>
      <c r="C15" s="187" t="s">
        <v>191</v>
      </c>
      <c r="D15" s="187" t="s">
        <v>562</v>
      </c>
      <c r="E15" s="198">
        <v>133</v>
      </c>
      <c r="F15" s="201">
        <v>14</v>
      </c>
      <c r="G15" s="201">
        <v>8</v>
      </c>
      <c r="H15" s="204">
        <v>-6</v>
      </c>
      <c r="I15" s="187"/>
      <c r="J15" s="207" t="s">
        <v>631</v>
      </c>
      <c r="K15" s="6"/>
      <c r="L15" s="6"/>
      <c r="M15" s="6"/>
    </row>
    <row r="16" spans="1:13" x14ac:dyDescent="0.25">
      <c r="A16" s="194" t="s">
        <v>630</v>
      </c>
      <c r="B16" s="196" t="s">
        <v>141</v>
      </c>
      <c r="C16" s="187" t="s">
        <v>191</v>
      </c>
      <c r="D16" s="187" t="s">
        <v>570</v>
      </c>
      <c r="E16" s="198"/>
      <c r="F16" s="201"/>
      <c r="G16" s="201">
        <v>8</v>
      </c>
      <c r="H16" s="204"/>
      <c r="I16" s="187"/>
      <c r="J16" s="207" t="s">
        <v>631</v>
      </c>
      <c r="K16" s="6"/>
      <c r="L16" s="6"/>
      <c r="M16" s="6"/>
    </row>
    <row r="17" spans="1:13" x14ac:dyDescent="0.25">
      <c r="A17" s="194" t="s">
        <v>645</v>
      </c>
      <c r="B17" s="196" t="s">
        <v>49</v>
      </c>
      <c r="C17" s="187" t="s">
        <v>191</v>
      </c>
      <c r="D17" s="187" t="s">
        <v>555</v>
      </c>
      <c r="E17" s="198"/>
      <c r="F17" s="201"/>
      <c r="G17" s="201">
        <v>11</v>
      </c>
      <c r="H17" s="204"/>
      <c r="I17" s="187"/>
      <c r="J17" s="207" t="s">
        <v>634</v>
      </c>
      <c r="K17" s="6"/>
      <c r="L17" s="6"/>
      <c r="M17" s="6"/>
    </row>
    <row r="18" spans="1:13" x14ac:dyDescent="0.25">
      <c r="A18" s="194" t="s">
        <v>638</v>
      </c>
      <c r="B18" s="196" t="s">
        <v>131</v>
      </c>
      <c r="C18" s="187" t="s">
        <v>576</v>
      </c>
      <c r="D18" s="187" t="s">
        <v>562</v>
      </c>
      <c r="E18" s="198">
        <v>38</v>
      </c>
      <c r="F18" s="201">
        <v>4</v>
      </c>
      <c r="G18" s="201">
        <v>11</v>
      </c>
      <c r="H18" s="204">
        <v>7</v>
      </c>
      <c r="I18" s="187" t="s">
        <v>633</v>
      </c>
      <c r="J18" s="207" t="s">
        <v>634</v>
      </c>
      <c r="K18" s="6"/>
      <c r="L18" s="6"/>
      <c r="M18" s="6"/>
    </row>
    <row r="19" spans="1:13" x14ac:dyDescent="0.25">
      <c r="A19" s="194" t="s">
        <v>630</v>
      </c>
      <c r="B19" s="196" t="s">
        <v>387</v>
      </c>
      <c r="C19" s="187" t="s">
        <v>673</v>
      </c>
      <c r="D19" s="187" t="s">
        <v>695</v>
      </c>
      <c r="E19" s="198"/>
      <c r="F19" s="201"/>
      <c r="G19" s="201">
        <v>8</v>
      </c>
      <c r="H19" s="204"/>
      <c r="I19" s="187"/>
      <c r="J19" s="207" t="s">
        <v>631</v>
      </c>
      <c r="K19" s="6"/>
      <c r="L19" s="6"/>
      <c r="M19" s="6"/>
    </row>
    <row r="20" spans="1:13" ht="15.75" thickBot="1" x14ac:dyDescent="0.3">
      <c r="A20" s="223" t="s">
        <v>630</v>
      </c>
      <c r="B20" s="224" t="s">
        <v>209</v>
      </c>
      <c r="C20" s="190" t="s">
        <v>589</v>
      </c>
      <c r="D20" s="188" t="s">
        <v>568</v>
      </c>
      <c r="E20" s="233"/>
      <c r="F20" s="202"/>
      <c r="G20" s="202">
        <v>8</v>
      </c>
      <c r="H20" s="205"/>
      <c r="I20" s="190"/>
      <c r="J20" s="208" t="s">
        <v>631</v>
      </c>
      <c r="K20" s="6"/>
      <c r="L20" s="6"/>
      <c r="M20" s="6"/>
    </row>
    <row r="21" spans="1:13" ht="20.100000000000001" customHeight="1" x14ac:dyDescent="0.25">
      <c r="A21" s="211" t="s">
        <v>672</v>
      </c>
      <c r="B21" s="215"/>
      <c r="C21" s="6"/>
      <c r="H21" s="6"/>
      <c r="I21" s="6"/>
      <c r="J21" s="6"/>
      <c r="K21" s="6"/>
      <c r="L21" s="6"/>
      <c r="M21" s="6"/>
    </row>
    <row r="22" spans="1:13" x14ac:dyDescent="0.25">
      <c r="A22" s="225" t="s">
        <v>575</v>
      </c>
      <c r="B22" s="216">
        <v>3</v>
      </c>
      <c r="C22" s="6"/>
      <c r="H22" s="6"/>
      <c r="I22" s="6"/>
      <c r="J22" s="6"/>
      <c r="K22" s="6"/>
      <c r="L22" s="6"/>
      <c r="M22" s="6"/>
    </row>
    <row r="23" spans="1:13" x14ac:dyDescent="0.25">
      <c r="A23" s="226" t="s">
        <v>187</v>
      </c>
      <c r="B23" s="217">
        <v>4</v>
      </c>
      <c r="C23" s="6"/>
      <c r="H23" s="6"/>
      <c r="I23" s="6"/>
      <c r="J23" s="6"/>
      <c r="K23" s="6"/>
      <c r="L23" s="6"/>
      <c r="M23" s="6"/>
    </row>
    <row r="24" spans="1:13" x14ac:dyDescent="0.25">
      <c r="A24" s="227" t="s">
        <v>191</v>
      </c>
      <c r="B24" s="216">
        <v>8</v>
      </c>
      <c r="C24" s="6"/>
      <c r="H24" s="6"/>
      <c r="I24" s="6"/>
      <c r="J24" s="6"/>
      <c r="K24" s="6"/>
      <c r="L24" s="6"/>
      <c r="M24" s="6"/>
    </row>
    <row r="25" spans="1:13" x14ac:dyDescent="0.25">
      <c r="A25" s="228" t="s">
        <v>576</v>
      </c>
      <c r="B25" s="217">
        <v>1</v>
      </c>
      <c r="C25" s="6"/>
      <c r="H25" s="6"/>
      <c r="I25" s="6"/>
      <c r="J25" s="6"/>
      <c r="K25" s="6"/>
      <c r="L25" s="6"/>
      <c r="M25" s="6"/>
    </row>
    <row r="26" spans="1:13" x14ac:dyDescent="0.25">
      <c r="A26" s="229" t="s">
        <v>673</v>
      </c>
      <c r="B26" s="216">
        <v>1</v>
      </c>
      <c r="C26" s="6"/>
      <c r="H26" s="6"/>
      <c r="I26" s="6"/>
      <c r="J26" s="6"/>
      <c r="K26" s="6"/>
      <c r="L26" s="6"/>
      <c r="M26" s="6"/>
    </row>
    <row r="27" spans="1:13" x14ac:dyDescent="0.25">
      <c r="A27" s="230" t="s">
        <v>589</v>
      </c>
      <c r="B27" s="217">
        <v>1</v>
      </c>
      <c r="C27" s="6"/>
      <c r="H27" s="6"/>
      <c r="I27" s="6"/>
      <c r="J27" s="6"/>
      <c r="K27" s="6"/>
      <c r="L27" s="6"/>
      <c r="M27" s="6"/>
    </row>
    <row r="28" spans="1:13" ht="15.75" thickBot="1" x14ac:dyDescent="0.3">
      <c r="A28" s="231" t="s">
        <v>674</v>
      </c>
      <c r="B28" s="232">
        <f>SUM(B22:B27)</f>
        <v>18</v>
      </c>
      <c r="C28" s="6"/>
      <c r="H28" s="6"/>
      <c r="I28" s="6"/>
      <c r="J28" s="6"/>
      <c r="K28" s="6"/>
      <c r="L28" s="6"/>
      <c r="M28" s="6"/>
    </row>
    <row r="29" spans="1:13" x14ac:dyDescent="0.25">
      <c r="A29" s="6"/>
      <c r="B29" s="6"/>
      <c r="C29" s="6"/>
      <c r="D29" s="6"/>
      <c r="E29" s="6"/>
      <c r="F29" s="6"/>
      <c r="G29" s="6"/>
      <c r="H29" s="6"/>
      <c r="I29" s="6"/>
      <c r="J29" s="6"/>
      <c r="K29" s="6"/>
      <c r="L29" s="6"/>
      <c r="M29" s="6"/>
    </row>
    <row r="30" spans="1:13" ht="20.100000000000001" customHeight="1" thickBot="1" x14ac:dyDescent="0.3">
      <c r="A30" s="209" t="s">
        <v>675</v>
      </c>
      <c r="B30" s="209"/>
      <c r="C30" s="209"/>
      <c r="D30" s="209"/>
      <c r="E30" s="209"/>
      <c r="F30" s="209"/>
      <c r="G30" s="209"/>
      <c r="H30" s="209"/>
      <c r="I30" s="209"/>
      <c r="J30" s="209"/>
      <c r="K30" s="6"/>
      <c r="L30" s="6"/>
      <c r="M30" s="6"/>
    </row>
    <row r="31" spans="1:13" ht="30" customHeight="1" x14ac:dyDescent="0.25">
      <c r="A31" s="235" t="s">
        <v>622</v>
      </c>
      <c r="B31" s="234" t="s">
        <v>676</v>
      </c>
      <c r="C31" s="234" t="s">
        <v>186</v>
      </c>
      <c r="D31" s="234" t="s">
        <v>545</v>
      </c>
      <c r="E31" s="234" t="s">
        <v>547</v>
      </c>
      <c r="F31" s="234" t="s">
        <v>677</v>
      </c>
      <c r="G31" s="234" t="s">
        <v>678</v>
      </c>
      <c r="H31" s="234" t="s">
        <v>679</v>
      </c>
      <c r="I31" s="234" t="s">
        <v>680</v>
      </c>
      <c r="J31" s="236" t="s">
        <v>626</v>
      </c>
      <c r="K31" s="6"/>
      <c r="L31" s="6"/>
      <c r="M31" s="6"/>
    </row>
    <row r="32" spans="1:13" x14ac:dyDescent="0.25">
      <c r="A32" s="237" t="str">
        <f>IF($B32="","",IFERROR(_xlfn.XLOOKUP($B32,$B$3:$B$20,$A$3:$A$20),""))</f>
        <v/>
      </c>
      <c r="B32" s="239"/>
      <c r="C32" s="184" t="str">
        <f>IF($B32="","",IFERROR(_xlfn.XLOOKUP($B32,$B$3:$B$20,$C$3:$C$20),""))</f>
        <v/>
      </c>
      <c r="D32" s="185" t="str">
        <f>IF($B32="","",IFERROR(_xlfn.XLOOKUP($B32,$B$3:$B$20,$D$3:$D$20),""))</f>
        <v/>
      </c>
      <c r="E32" s="197" t="str">
        <f>IF($B32="","",IFERROR(_xlfn.XLOOKUP($B32,$B$3:$B$20,$E$3:$E$20),""))</f>
        <v/>
      </c>
      <c r="F32" s="200" t="str">
        <f>IF($B32="","",IFERROR(_xlfn.XLOOKUP($B32,$B$3:$B$20,$F$3:$F$20),""))</f>
        <v/>
      </c>
      <c r="G32" s="200" t="str">
        <f>IF($B32="","",IFERROR(_xlfn.XLOOKUP($B32,$B$3:$B$20,$G$3:$G$20),""))</f>
        <v/>
      </c>
      <c r="H32" s="200" t="str">
        <f>IF($B32="","",IF(OR($B33="",$G32&lt;&gt;$G33),$G32,IF($G32=1,IF($E32&lt;=$E33,1,2),IF($E32&lt;=$E33,MAX(1,$G32-1),$G32))))</f>
        <v/>
      </c>
      <c r="I32" s="185" t="str">
        <f>IF($H32="","","Round "&amp;$H32)</f>
        <v/>
      </c>
      <c r="J32" s="241" t="str">
        <f>IF(OR($B32="",$F32=""),"",$F32-$H32)</f>
        <v/>
      </c>
      <c r="K32" s="6"/>
      <c r="L32" s="6"/>
      <c r="M32" s="6"/>
    </row>
    <row r="33" spans="1:13" x14ac:dyDescent="0.25">
      <c r="A33" s="238" t="str">
        <f>IF($B33="","",IFERROR(_xlfn.XLOOKUP($B33,$B$3:$B$20,$A$3:$A$20),""))</f>
        <v/>
      </c>
      <c r="B33" s="240"/>
      <c r="C33" s="186" t="str">
        <f>IF($B33="","",IFERROR(_xlfn.XLOOKUP($B33,$B$3:$B$20,$C$3:$C$20),""))</f>
        <v/>
      </c>
      <c r="D33" s="187" t="str">
        <f>IF($B33="","",IFERROR(_xlfn.XLOOKUP($B33,$B$3:$B$20,$D$3:$D$20),""))</f>
        <v/>
      </c>
      <c r="E33" s="198" t="str">
        <f>IF($B33="","",IFERROR(_xlfn.XLOOKUP($B33,$B$3:$B$20,$E$3:$E$20),""))</f>
        <v/>
      </c>
      <c r="F33" s="201" t="str">
        <f>IF($B33="","",IFERROR(_xlfn.XLOOKUP($B33,$B$3:$B$20,$F$3:$F$20),""))</f>
        <v/>
      </c>
      <c r="G33" s="201" t="str">
        <f>IF($B33="","",IFERROR(_xlfn.XLOOKUP($B33,$B$3:$B$20,$G$3:$G$20),""))</f>
        <v/>
      </c>
      <c r="H33" s="201" t="str">
        <f>IF($B33="","",IF(OR($B32="",$G33&lt;&gt;$G32),$G33,IF($G33=1,IF($E33&lt;=$E32,1,2),IF($E33&lt;=$E32,MAX(1,$G33-1),$G33))))</f>
        <v/>
      </c>
      <c r="I33" s="187" t="str">
        <f>IF($H33="","","Round "&amp;$H33)</f>
        <v/>
      </c>
      <c r="J33" s="242" t="str">
        <f>IF(OR($B33="",$F33=""),"",$F33-$H33)</f>
        <v/>
      </c>
      <c r="K33" s="6"/>
      <c r="L33" s="6"/>
      <c r="M33" s="6"/>
    </row>
    <row r="34" spans="1:13" ht="15.75" thickBot="1" x14ac:dyDescent="0.3">
      <c r="A34" s="248" t="s">
        <v>681</v>
      </c>
      <c r="B34" s="243"/>
      <c r="C34" s="244"/>
      <c r="D34" s="244"/>
      <c r="E34" s="244"/>
      <c r="F34" s="244"/>
      <c r="G34" s="245" t="str">
        <f>IF(COUNT($G$32:$G$33)=0,"",SUM($G$32:$G$33))</f>
        <v/>
      </c>
      <c r="H34" s="245" t="str">
        <f>IF(COUNT($H$32:$H$33)=0,"",SUM($H$32:$H$33))</f>
        <v/>
      </c>
      <c r="I34" s="246"/>
      <c r="J34" s="247" t="str">
        <f>IF(COUNT($J$32:$J$33)=0,"",SUM($J$32:$J$33))</f>
        <v/>
      </c>
      <c r="K34" s="6"/>
      <c r="L34" s="6"/>
      <c r="M34" s="6"/>
    </row>
    <row r="35" spans="1:13" ht="15.75" thickBot="1" x14ac:dyDescent="0.3">
      <c r="A35" s="6"/>
      <c r="B35" s="6"/>
      <c r="C35" s="6"/>
      <c r="D35" s="6"/>
      <c r="E35" s="6"/>
      <c r="F35" s="6"/>
      <c r="G35" s="6"/>
      <c r="H35" s="6"/>
      <c r="I35" s="6"/>
      <c r="J35" s="6"/>
      <c r="K35" s="6"/>
      <c r="L35" s="6"/>
      <c r="M35" s="6"/>
    </row>
    <row r="36" spans="1:13" ht="20.100000000000001" customHeight="1" x14ac:dyDescent="0.25">
      <c r="A36" s="211" t="s">
        <v>682</v>
      </c>
      <c r="B36" s="210"/>
      <c r="C36" s="210"/>
      <c r="D36" s="210"/>
      <c r="E36" s="210"/>
      <c r="F36" s="210"/>
      <c r="G36" s="210"/>
      <c r="H36" s="210"/>
      <c r="I36" s="210"/>
      <c r="J36" s="215"/>
      <c r="K36" s="6"/>
      <c r="L36" s="6"/>
      <c r="M36" s="6"/>
    </row>
    <row r="37" spans="1:13" ht="30" customHeight="1" x14ac:dyDescent="0.25">
      <c r="A37" s="252" t="s">
        <v>683</v>
      </c>
      <c r="B37" s="249"/>
      <c r="C37" s="249"/>
      <c r="D37" s="249"/>
      <c r="E37" s="249"/>
      <c r="F37" s="249"/>
      <c r="G37" s="249"/>
      <c r="H37" s="249"/>
      <c r="I37" s="249"/>
      <c r="J37" s="255"/>
      <c r="K37" s="6"/>
      <c r="L37" s="6"/>
      <c r="M37" s="6"/>
    </row>
    <row r="38" spans="1:13" ht="30" customHeight="1" x14ac:dyDescent="0.25">
      <c r="A38" s="253" t="s">
        <v>684</v>
      </c>
      <c r="B38" s="250"/>
      <c r="C38" s="250"/>
      <c r="D38" s="250"/>
      <c r="E38" s="250"/>
      <c r="F38" s="250"/>
      <c r="G38" s="250"/>
      <c r="H38" s="250"/>
      <c r="I38" s="250"/>
      <c r="J38" s="256"/>
      <c r="K38" s="6"/>
      <c r="L38" s="6"/>
      <c r="M38" s="6"/>
    </row>
    <row r="39" spans="1:13" ht="30" customHeight="1" x14ac:dyDescent="0.25">
      <c r="A39" s="252" t="s">
        <v>685</v>
      </c>
      <c r="B39" s="249"/>
      <c r="C39" s="249"/>
      <c r="D39" s="249"/>
      <c r="E39" s="249"/>
      <c r="F39" s="249"/>
      <c r="G39" s="249"/>
      <c r="H39" s="249"/>
      <c r="I39" s="249"/>
      <c r="J39" s="255"/>
      <c r="K39" s="6"/>
      <c r="L39" s="6"/>
      <c r="M39" s="6"/>
    </row>
    <row r="40" spans="1:13" ht="15.95" customHeight="1" x14ac:dyDescent="0.25">
      <c r="A40" s="253" t="str" cm="1">
        <f t="array" ref="A40">"Rounds traded away: "&amp;_xlfn.LET(_xlpm.sl,MATCH(TRUE,EXACT('Draft Order-Traded Picks'!$B$2:$K$2,$M$13),0),_xlpm.g,INDEX('Draft Order-Traded Picks'!$B$3:$K$18,_xlfn.SEQUENCE(16),_xlpm.sl),IF(SUMPRODUCT(--(_xlpm.g&lt;&gt;""))=0,"none",_xlfn.TEXTJOIN(", ",TRUE,IF(_xlpm.g&lt;&gt;"","Rd "&amp;_xlfn.SEQUENCE(16),""))))</f>
        <v>Rounds traded away: none</v>
      </c>
      <c r="B40" s="250"/>
      <c r="C40" s="250"/>
      <c r="D40" s="250"/>
      <c r="E40" s="250"/>
      <c r="F40" s="250"/>
      <c r="G40" s="250"/>
      <c r="H40" s="250"/>
      <c r="I40" s="250"/>
      <c r="J40" s="256"/>
      <c r="K40" s="6"/>
      <c r="L40" s="6"/>
      <c r="M40" s="6"/>
    </row>
    <row r="41" spans="1:13" ht="15.95" customHeight="1" x14ac:dyDescent="0.25">
      <c r="A41" s="252" t="str" cm="1">
        <f t="array" ref="A41">"Rounds acquired: "&amp;_xlfn.LET(_xlpm.m,MMULT(--EXACT('Draft Order-Traded Picks'!$B$3:$K$18,$M$12),_xlfn.SEQUENCE(10,1,1,0)),IF(SUM(_xlpm.m)=0,"none",_xlfn.TEXTJOIN(", ",TRUE,IF(_xlpm.m&gt;0,"Rd "&amp;_xlfn.SEQUENCE(16)&amp;IF(_xlpm.m&gt;1," (x"&amp;_xlpm.m&amp;")",""),""))&amp;"  -  "&amp;SUM(_xlpm.m)&amp;" pick(s) total"))</f>
        <v>Rounds acquired: none</v>
      </c>
      <c r="B41" s="249"/>
      <c r="C41" s="249"/>
      <c r="D41" s="249"/>
      <c r="E41" s="249"/>
      <c r="F41" s="249"/>
      <c r="G41" s="249"/>
      <c r="H41" s="249"/>
      <c r="I41" s="249"/>
      <c r="J41" s="255"/>
      <c r="K41" s="6"/>
      <c r="L41" s="6"/>
      <c r="M41" s="6"/>
    </row>
    <row r="42" spans="1:13" ht="30" customHeight="1" thickBot="1" x14ac:dyDescent="0.3">
      <c r="A42" s="254" t="s">
        <v>696</v>
      </c>
      <c r="B42" s="251"/>
      <c r="C42" s="251"/>
      <c r="D42" s="251"/>
      <c r="E42" s="251"/>
      <c r="F42" s="251"/>
      <c r="G42" s="251"/>
      <c r="H42" s="251"/>
      <c r="I42" s="251"/>
      <c r="J42" s="257"/>
      <c r="K42" s="6"/>
      <c r="L42" s="6"/>
      <c r="M42" s="6"/>
    </row>
  </sheetData>
  <mergeCells count="11">
    <mergeCell ref="A37:J37"/>
    <mergeCell ref="A38:J38"/>
    <mergeCell ref="A39:J39"/>
    <mergeCell ref="A40:J40"/>
    <mergeCell ref="A41:J41"/>
    <mergeCell ref="A42:J42"/>
    <mergeCell ref="A1:J1"/>
    <mergeCell ref="L2:M2"/>
    <mergeCell ref="A21:B21"/>
    <mergeCell ref="A30:J30"/>
    <mergeCell ref="A36:J36"/>
  </mergeCells>
  <conditionalFormatting sqref="A3:J20">
    <cfRule type="expression" dxfId="192" priority="1">
      <formula>AND($B3&lt;&gt;"",MOD(ROW(),2)=0)</formula>
    </cfRule>
  </conditionalFormatting>
  <conditionalFormatting sqref="C3:C20">
    <cfRule type="containsText" dxfId="191" priority="2" operator="containsText" text="QB">
      <formula>NOT(ISERROR(SEARCH("QB",C3)))</formula>
    </cfRule>
  </conditionalFormatting>
  <conditionalFormatting sqref="C3:C20">
    <cfRule type="containsText" dxfId="190" priority="3" operator="containsText" text="RB">
      <formula>NOT(ISERROR(SEARCH("RB",C3)))</formula>
    </cfRule>
  </conditionalFormatting>
  <conditionalFormatting sqref="C3:C20">
    <cfRule type="containsText" dxfId="189" priority="4" operator="containsText" text="WR">
      <formula>NOT(ISERROR(SEARCH("WR",C3)))</formula>
    </cfRule>
  </conditionalFormatting>
  <conditionalFormatting sqref="C3:C20">
    <cfRule type="containsText" dxfId="188" priority="5" operator="containsText" text="TE">
      <formula>NOT(ISERROR(SEARCH("TE",C3)))</formula>
    </cfRule>
  </conditionalFormatting>
  <conditionalFormatting sqref="C3:C20">
    <cfRule type="containsText" dxfId="187" priority="6" operator="containsText" text="K">
      <formula>NOT(ISERROR(SEARCH("K",C3)))</formula>
    </cfRule>
  </conditionalFormatting>
  <conditionalFormatting sqref="C3:C20">
    <cfRule type="containsText" dxfId="186" priority="7" operator="containsText" text="DEF">
      <formula>NOT(ISERROR(SEARCH("DEF",C3)))</formula>
    </cfRule>
  </conditionalFormatting>
  <conditionalFormatting sqref="C32:C33">
    <cfRule type="containsText" dxfId="185" priority="8" operator="containsText" text="QB">
      <formula>NOT(ISERROR(SEARCH("QB",C32)))</formula>
    </cfRule>
  </conditionalFormatting>
  <conditionalFormatting sqref="C32:C33">
    <cfRule type="containsText" dxfId="184" priority="9" operator="containsText" text="RB">
      <formula>NOT(ISERROR(SEARCH("RB",C32)))</formula>
    </cfRule>
  </conditionalFormatting>
  <conditionalFormatting sqref="C32:C33">
    <cfRule type="containsText" dxfId="183" priority="10" operator="containsText" text="WR">
      <formula>NOT(ISERROR(SEARCH("WR",C32)))</formula>
    </cfRule>
  </conditionalFormatting>
  <conditionalFormatting sqref="C32:C33">
    <cfRule type="containsText" dxfId="182" priority="11" operator="containsText" text="TE">
      <formula>NOT(ISERROR(SEARCH("TE",C32)))</formula>
    </cfRule>
  </conditionalFormatting>
  <conditionalFormatting sqref="C32:C33">
    <cfRule type="containsText" dxfId="181" priority="12" operator="containsText" text="K">
      <formula>NOT(ISERROR(SEARCH("K",C32)))</formula>
    </cfRule>
  </conditionalFormatting>
  <conditionalFormatting sqref="C32:C33">
    <cfRule type="containsText" dxfId="180" priority="13" operator="containsText" text="DEF">
      <formula>NOT(ISERROR(SEARCH("DEF",C32)))</formula>
    </cfRule>
  </conditionalFormatting>
  <conditionalFormatting sqref="I3:I20">
    <cfRule type="expression" dxfId="179" priority="14">
      <formula>$I3&lt;&gt;""</formula>
    </cfRule>
  </conditionalFormatting>
  <conditionalFormatting sqref="J3:J20">
    <cfRule type="expression" dxfId="178" priority="15">
      <formula>ISNUMBER(SEARCH("Waiver",$J3))</formula>
    </cfRule>
  </conditionalFormatting>
  <conditionalFormatting sqref="H32:H33">
    <cfRule type="expression" dxfId="177" priority="20">
      <formula>AND($B32&lt;&gt;"",$H32&lt;&gt;$G32)</formula>
    </cfRule>
  </conditionalFormatting>
  <conditionalFormatting sqref="B32:B33">
    <cfRule type="expression" dxfId="176" priority="21">
      <formula>AND($B32&lt;&gt;"",COUNTIF($B$32:$B$33,$B32)&gt;1)</formula>
    </cfRule>
  </conditionalFormatting>
  <conditionalFormatting sqref="H3:H20">
    <cfRule type="expression" dxfId="35" priority="22">
      <formula>AND(ISNUMBER($H3),$H3&gt;0)</formula>
    </cfRule>
  </conditionalFormatting>
  <conditionalFormatting sqref="H3:H20">
    <cfRule type="expression" dxfId="34" priority="23">
      <formula>AND(ISNUMBER($H3),$H3&lt;0)</formula>
    </cfRule>
  </conditionalFormatting>
  <conditionalFormatting sqref="J32:J34">
    <cfRule type="expression" dxfId="33" priority="24">
      <formula>AND(ISNUMBER($J32),$J32&gt;0)</formula>
    </cfRule>
  </conditionalFormatting>
  <conditionalFormatting sqref="J32:J34">
    <cfRule type="expression" dxfId="32" priority="25">
      <formula>AND(ISNUMBER($J32),$J32&lt;0)</formula>
    </cfRule>
  </conditionalFormatting>
  <dataValidations count="1">
    <dataValidation type="list" allowBlank="1" showInputMessage="1" showErrorMessage="1" errorTitle="Not on this roster" error="Pick a player from this team's roster list above." promptTitle="Keeper selection" prompt="Choose one of this team's players. Keeper cost and value update automatically." sqref="B32:B33" xr:uid="{A42D070C-5C50-4C6C-A6B0-B84BAD27CFBF}">
      <formula1>$B$3:$B$20</formula1>
    </dataValidation>
  </dataValidations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57E2EA5-F0A0-42B5-8E38-5C77658C76D1}">
  <sheetPr>
    <tabColor rgb="FF1F4E79"/>
  </sheetPr>
  <dimension ref="A1:M42"/>
  <sheetViews>
    <sheetView workbookViewId="0">
      <pane ySplit="2" topLeftCell="A3" activePane="bottomLeft" state="frozen"/>
      <selection pane="bottomLeft" sqref="A1:J1"/>
    </sheetView>
  </sheetViews>
  <sheetFormatPr defaultRowHeight="15" x14ac:dyDescent="0.25"/>
  <cols>
    <col min="1" max="1" width="21.5703125" customWidth="1"/>
    <col min="2" max="2" width="41.85546875" customWidth="1"/>
    <col min="3" max="3" width="12.7109375" customWidth="1"/>
    <col min="4" max="4" width="29.140625" customWidth="1"/>
    <col min="5" max="5" width="25.28515625" customWidth="1"/>
    <col min="6" max="6" width="21.5703125" customWidth="1"/>
    <col min="7" max="7" width="25.28515625" customWidth="1"/>
    <col min="8" max="8" width="20.42578125" customWidth="1"/>
    <col min="9" max="9" width="24.140625" customWidth="1"/>
    <col min="10" max="10" width="35.5703125" customWidth="1"/>
    <col min="11" max="11" width="4.5703125" customWidth="1"/>
    <col min="12" max="12" width="38.140625" customWidth="1"/>
    <col min="13" max="13" width="33" customWidth="1"/>
  </cols>
  <sheetData>
    <row r="1" spans="1:13" ht="30" customHeight="1" thickBot="1" x14ac:dyDescent="0.3">
      <c r="A1" s="183" t="s">
        <v>687</v>
      </c>
      <c r="B1" s="183"/>
      <c r="C1" s="183"/>
      <c r="D1" s="183"/>
      <c r="E1" s="183"/>
      <c r="F1" s="183"/>
      <c r="G1" s="183"/>
      <c r="H1" s="183"/>
      <c r="I1" s="183"/>
      <c r="J1" s="183"/>
      <c r="K1" s="6"/>
      <c r="L1" s="6"/>
      <c r="M1" s="6"/>
    </row>
    <row r="2" spans="1:13" ht="42" customHeight="1" x14ac:dyDescent="0.25">
      <c r="A2" s="191" t="s">
        <v>622</v>
      </c>
      <c r="B2" s="189" t="s">
        <v>354</v>
      </c>
      <c r="C2" s="189" t="s">
        <v>186</v>
      </c>
      <c r="D2" s="189" t="s">
        <v>545</v>
      </c>
      <c r="E2" s="189" t="s">
        <v>623</v>
      </c>
      <c r="F2" s="189" t="s">
        <v>624</v>
      </c>
      <c r="G2" s="189" t="s">
        <v>625</v>
      </c>
      <c r="H2" s="189" t="s">
        <v>626</v>
      </c>
      <c r="I2" s="189" t="s">
        <v>627</v>
      </c>
      <c r="J2" s="192" t="s">
        <v>628</v>
      </c>
      <c r="K2" s="6"/>
      <c r="L2" s="211" t="s">
        <v>661</v>
      </c>
      <c r="M2" s="215"/>
    </row>
    <row r="3" spans="1:13" x14ac:dyDescent="0.25">
      <c r="A3" s="193" t="s">
        <v>630</v>
      </c>
      <c r="B3" s="195" t="s">
        <v>33</v>
      </c>
      <c r="C3" s="185" t="s">
        <v>575</v>
      </c>
      <c r="D3" s="185" t="s">
        <v>551</v>
      </c>
      <c r="E3" s="197">
        <v>93.8</v>
      </c>
      <c r="F3" s="200">
        <v>10</v>
      </c>
      <c r="G3" s="200">
        <v>8</v>
      </c>
      <c r="H3" s="203">
        <v>-2</v>
      </c>
      <c r="I3" s="185"/>
      <c r="J3" s="206" t="s">
        <v>631</v>
      </c>
      <c r="K3" s="6"/>
      <c r="L3" s="212" t="s">
        <v>662</v>
      </c>
      <c r="M3" s="216">
        <v>16</v>
      </c>
    </row>
    <row r="4" spans="1:13" x14ac:dyDescent="0.25">
      <c r="A4" s="194" t="s">
        <v>632</v>
      </c>
      <c r="B4" s="196" t="s">
        <v>110</v>
      </c>
      <c r="C4" s="187" t="s">
        <v>187</v>
      </c>
      <c r="D4" s="187" t="s">
        <v>550</v>
      </c>
      <c r="E4" s="198">
        <v>1.7</v>
      </c>
      <c r="F4" s="201">
        <v>1</v>
      </c>
      <c r="G4" s="201">
        <v>1</v>
      </c>
      <c r="H4" s="204">
        <v>0</v>
      </c>
      <c r="I4" s="187" t="s">
        <v>633</v>
      </c>
      <c r="J4" s="207" t="s">
        <v>634</v>
      </c>
      <c r="K4" s="6"/>
      <c r="L4" s="213" t="s">
        <v>663</v>
      </c>
      <c r="M4" s="217">
        <v>2</v>
      </c>
    </row>
    <row r="5" spans="1:13" x14ac:dyDescent="0.25">
      <c r="A5" s="194" t="s">
        <v>635</v>
      </c>
      <c r="B5" s="196" t="s">
        <v>69</v>
      </c>
      <c r="C5" s="187" t="s">
        <v>187</v>
      </c>
      <c r="D5" s="187" t="s">
        <v>577</v>
      </c>
      <c r="E5" s="198">
        <v>74.400000000000006</v>
      </c>
      <c r="F5" s="201">
        <v>8</v>
      </c>
      <c r="G5" s="201">
        <v>3</v>
      </c>
      <c r="H5" s="204">
        <v>-5</v>
      </c>
      <c r="I5" s="187"/>
      <c r="J5" s="207" t="s">
        <v>634</v>
      </c>
      <c r="K5" s="6"/>
      <c r="L5" s="212" t="s">
        <v>664</v>
      </c>
      <c r="M5" s="218">
        <v>81.569999999999993</v>
      </c>
    </row>
    <row r="6" spans="1:13" x14ac:dyDescent="0.25">
      <c r="A6" s="194" t="s">
        <v>630</v>
      </c>
      <c r="B6" s="196" t="s">
        <v>366</v>
      </c>
      <c r="C6" s="187" t="s">
        <v>187</v>
      </c>
      <c r="D6" s="187" t="s">
        <v>578</v>
      </c>
      <c r="E6" s="198">
        <v>88.6</v>
      </c>
      <c r="F6" s="201">
        <v>9</v>
      </c>
      <c r="G6" s="201">
        <v>8</v>
      </c>
      <c r="H6" s="204">
        <v>-1</v>
      </c>
      <c r="I6" s="187"/>
      <c r="J6" s="207" t="s">
        <v>631</v>
      </c>
      <c r="K6" s="6"/>
      <c r="L6" s="213" t="s">
        <v>665</v>
      </c>
      <c r="M6" s="219">
        <v>3</v>
      </c>
    </row>
    <row r="7" spans="1:13" x14ac:dyDescent="0.25">
      <c r="A7" s="194" t="s">
        <v>630</v>
      </c>
      <c r="B7" s="196" t="s">
        <v>95</v>
      </c>
      <c r="C7" s="187" t="s">
        <v>187</v>
      </c>
      <c r="D7" s="187" t="s">
        <v>585</v>
      </c>
      <c r="E7" s="198">
        <v>133.30000000000001</v>
      </c>
      <c r="F7" s="201">
        <v>14</v>
      </c>
      <c r="G7" s="201">
        <v>8</v>
      </c>
      <c r="H7" s="204">
        <v>-6</v>
      </c>
      <c r="I7" s="187"/>
      <c r="J7" s="207" t="s">
        <v>631</v>
      </c>
      <c r="K7" s="6"/>
      <c r="L7" s="212" t="s">
        <v>666</v>
      </c>
      <c r="M7" s="216" t="s">
        <v>183</v>
      </c>
    </row>
    <row r="8" spans="1:13" x14ac:dyDescent="0.25">
      <c r="A8" s="194" t="s">
        <v>630</v>
      </c>
      <c r="B8" s="196" t="s">
        <v>368</v>
      </c>
      <c r="C8" s="187" t="s">
        <v>187</v>
      </c>
      <c r="D8" s="187" t="s">
        <v>573</v>
      </c>
      <c r="E8" s="198"/>
      <c r="F8" s="201"/>
      <c r="G8" s="201">
        <v>8</v>
      </c>
      <c r="H8" s="204"/>
      <c r="I8" s="187"/>
      <c r="J8" s="207" t="s">
        <v>631</v>
      </c>
      <c r="K8" s="6"/>
      <c r="L8" s="213" t="s">
        <v>667</v>
      </c>
      <c r="M8" s="217">
        <v>6</v>
      </c>
    </row>
    <row r="9" spans="1:13" ht="15.75" thickBot="1" x14ac:dyDescent="0.3">
      <c r="A9" s="194" t="s">
        <v>630</v>
      </c>
      <c r="B9" s="196" t="s">
        <v>369</v>
      </c>
      <c r="C9" s="187" t="s">
        <v>187</v>
      </c>
      <c r="D9" s="187" t="s">
        <v>564</v>
      </c>
      <c r="E9" s="198"/>
      <c r="F9" s="201"/>
      <c r="G9" s="201">
        <v>8</v>
      </c>
      <c r="H9" s="204"/>
      <c r="I9" s="187"/>
      <c r="J9" s="207" t="s">
        <v>631</v>
      </c>
      <c r="K9" s="6"/>
      <c r="L9" s="214" t="s">
        <v>668</v>
      </c>
      <c r="M9" s="220">
        <v>10</v>
      </c>
    </row>
    <row r="10" spans="1:13" x14ac:dyDescent="0.25">
      <c r="A10" s="194" t="s">
        <v>637</v>
      </c>
      <c r="B10" s="196" t="s">
        <v>183</v>
      </c>
      <c r="C10" s="187" t="s">
        <v>191</v>
      </c>
      <c r="D10" s="187" t="s">
        <v>559</v>
      </c>
      <c r="E10" s="198">
        <v>13</v>
      </c>
      <c r="F10" s="201">
        <v>2</v>
      </c>
      <c r="G10" s="201">
        <v>5</v>
      </c>
      <c r="H10" s="204">
        <v>3</v>
      </c>
      <c r="I10" s="187" t="s">
        <v>633</v>
      </c>
      <c r="J10" s="207" t="s">
        <v>634</v>
      </c>
      <c r="K10" s="6"/>
      <c r="L10" s="6"/>
      <c r="M10" s="6"/>
    </row>
    <row r="11" spans="1:13" x14ac:dyDescent="0.25">
      <c r="A11" s="194" t="s">
        <v>639</v>
      </c>
      <c r="B11" s="196" t="s">
        <v>124</v>
      </c>
      <c r="C11" s="187" t="s">
        <v>191</v>
      </c>
      <c r="D11" s="187" t="s">
        <v>580</v>
      </c>
      <c r="E11" s="198">
        <v>49</v>
      </c>
      <c r="F11" s="201">
        <v>5</v>
      </c>
      <c r="G11" s="201">
        <v>7</v>
      </c>
      <c r="H11" s="204">
        <v>2</v>
      </c>
      <c r="I11" s="187"/>
      <c r="J11" s="207" t="s">
        <v>634</v>
      </c>
      <c r="K11" s="6"/>
      <c r="L11" s="221" t="s">
        <v>669</v>
      </c>
      <c r="M11" s="221" t="s">
        <v>629</v>
      </c>
    </row>
    <row r="12" spans="1:13" x14ac:dyDescent="0.25">
      <c r="A12" s="194" t="s">
        <v>636</v>
      </c>
      <c r="B12" s="196" t="s">
        <v>58</v>
      </c>
      <c r="C12" s="187" t="s">
        <v>191</v>
      </c>
      <c r="D12" s="187" t="s">
        <v>583</v>
      </c>
      <c r="E12" s="198">
        <v>83.5</v>
      </c>
      <c r="F12" s="201">
        <v>9</v>
      </c>
      <c r="G12" s="201">
        <v>8</v>
      </c>
      <c r="H12" s="204">
        <v>-1</v>
      </c>
      <c r="I12" s="187"/>
      <c r="J12" s="207" t="s">
        <v>634</v>
      </c>
      <c r="K12" s="6"/>
      <c r="L12" s="221" t="s">
        <v>670</v>
      </c>
      <c r="M12" s="221" t="s">
        <v>357</v>
      </c>
    </row>
    <row r="13" spans="1:13" ht="23.25" x14ac:dyDescent="0.25">
      <c r="A13" s="194" t="s">
        <v>638</v>
      </c>
      <c r="B13" s="196" t="s">
        <v>101</v>
      </c>
      <c r="C13" s="187" t="s">
        <v>191</v>
      </c>
      <c r="D13" s="187" t="s">
        <v>554</v>
      </c>
      <c r="E13" s="198">
        <v>127.6</v>
      </c>
      <c r="F13" s="201">
        <v>13</v>
      </c>
      <c r="G13" s="201">
        <v>12</v>
      </c>
      <c r="H13" s="204">
        <v>-1</v>
      </c>
      <c r="I13" s="187"/>
      <c r="J13" s="207" t="s">
        <v>634</v>
      </c>
      <c r="K13" s="6"/>
      <c r="L13" s="221" t="s">
        <v>671</v>
      </c>
      <c r="M13" s="222" t="s">
        <v>72</v>
      </c>
    </row>
    <row r="14" spans="1:13" x14ac:dyDescent="0.25">
      <c r="A14" s="194" t="s">
        <v>630</v>
      </c>
      <c r="B14" s="196" t="s">
        <v>365</v>
      </c>
      <c r="C14" s="187" t="s">
        <v>191</v>
      </c>
      <c r="D14" s="187" t="s">
        <v>585</v>
      </c>
      <c r="E14" s="198">
        <v>150.80000000000001</v>
      </c>
      <c r="F14" s="201">
        <v>16</v>
      </c>
      <c r="G14" s="201">
        <v>8</v>
      </c>
      <c r="H14" s="204">
        <v>-8</v>
      </c>
      <c r="I14" s="187"/>
      <c r="J14" s="207" t="s">
        <v>631</v>
      </c>
      <c r="K14" s="6"/>
      <c r="L14" s="6"/>
      <c r="M14" s="6"/>
    </row>
    <row r="15" spans="1:13" x14ac:dyDescent="0.25">
      <c r="A15" s="194" t="s">
        <v>630</v>
      </c>
      <c r="B15" s="196" t="s">
        <v>367</v>
      </c>
      <c r="C15" s="187" t="s">
        <v>576</v>
      </c>
      <c r="D15" s="187" t="s">
        <v>583</v>
      </c>
      <c r="E15" s="198"/>
      <c r="F15" s="201"/>
      <c r="G15" s="201">
        <v>8</v>
      </c>
      <c r="H15" s="204"/>
      <c r="I15" s="187"/>
      <c r="J15" s="207" t="s">
        <v>631</v>
      </c>
      <c r="K15" s="6"/>
      <c r="L15" s="6"/>
      <c r="M15" s="6"/>
    </row>
    <row r="16" spans="1:13" x14ac:dyDescent="0.25">
      <c r="A16" s="194" t="s">
        <v>630</v>
      </c>
      <c r="B16" s="196" t="s">
        <v>10</v>
      </c>
      <c r="C16" s="187" t="s">
        <v>576</v>
      </c>
      <c r="D16" s="187" t="s">
        <v>579</v>
      </c>
      <c r="E16" s="198"/>
      <c r="F16" s="201"/>
      <c r="G16" s="201">
        <v>8</v>
      </c>
      <c r="H16" s="204"/>
      <c r="I16" s="187"/>
      <c r="J16" s="207" t="s">
        <v>631</v>
      </c>
      <c r="K16" s="6"/>
      <c r="L16" s="6"/>
      <c r="M16" s="6"/>
    </row>
    <row r="17" spans="1:13" x14ac:dyDescent="0.25">
      <c r="A17" s="194" t="s">
        <v>630</v>
      </c>
      <c r="B17" s="196" t="s">
        <v>370</v>
      </c>
      <c r="C17" s="187" t="s">
        <v>673</v>
      </c>
      <c r="D17" s="187" t="s">
        <v>578</v>
      </c>
      <c r="E17" s="198"/>
      <c r="F17" s="201"/>
      <c r="G17" s="201">
        <v>8</v>
      </c>
      <c r="H17" s="204"/>
      <c r="I17" s="187"/>
      <c r="J17" s="207" t="s">
        <v>631</v>
      </c>
      <c r="K17" s="6"/>
      <c r="L17" s="6"/>
      <c r="M17" s="6"/>
    </row>
    <row r="18" spans="1:13" x14ac:dyDescent="0.25">
      <c r="A18" s="194" t="s">
        <v>630</v>
      </c>
      <c r="B18" s="196" t="s">
        <v>371</v>
      </c>
      <c r="C18" s="187" t="s">
        <v>589</v>
      </c>
      <c r="D18" s="187" t="s">
        <v>583</v>
      </c>
      <c r="E18" s="198"/>
      <c r="F18" s="201"/>
      <c r="G18" s="201">
        <v>8</v>
      </c>
      <c r="H18" s="204"/>
      <c r="I18" s="187"/>
      <c r="J18" s="207" t="s">
        <v>631</v>
      </c>
      <c r="K18" s="6"/>
      <c r="L18" s="6"/>
      <c r="M18" s="6"/>
    </row>
    <row r="19" spans="1:13" x14ac:dyDescent="0.25">
      <c r="A19" s="194"/>
      <c r="B19" s="196"/>
      <c r="C19" s="187"/>
      <c r="D19" s="187"/>
      <c r="E19" s="198"/>
      <c r="F19" s="201"/>
      <c r="G19" s="201"/>
      <c r="H19" s="204"/>
      <c r="I19" s="187"/>
      <c r="J19" s="207"/>
      <c r="K19" s="6"/>
      <c r="L19" s="6"/>
      <c r="M19" s="6"/>
    </row>
    <row r="20" spans="1:13" ht="15.75" thickBot="1" x14ac:dyDescent="0.3">
      <c r="A20" s="223"/>
      <c r="B20" s="224"/>
      <c r="C20" s="190"/>
      <c r="D20" s="188"/>
      <c r="E20" s="233"/>
      <c r="F20" s="202"/>
      <c r="G20" s="202"/>
      <c r="H20" s="205"/>
      <c r="I20" s="190"/>
      <c r="J20" s="208"/>
      <c r="K20" s="6"/>
      <c r="L20" s="6"/>
      <c r="M20" s="6"/>
    </row>
    <row r="21" spans="1:13" ht="20.100000000000001" customHeight="1" x14ac:dyDescent="0.25">
      <c r="A21" s="211" t="s">
        <v>672</v>
      </c>
      <c r="B21" s="215"/>
      <c r="C21" s="6"/>
      <c r="H21" s="6"/>
      <c r="I21" s="6"/>
      <c r="J21" s="6"/>
      <c r="K21" s="6"/>
      <c r="L21" s="6"/>
      <c r="M21" s="6"/>
    </row>
    <row r="22" spans="1:13" x14ac:dyDescent="0.25">
      <c r="A22" s="225" t="s">
        <v>575</v>
      </c>
      <c r="B22" s="216">
        <v>1</v>
      </c>
      <c r="C22" s="6"/>
      <c r="H22" s="6"/>
      <c r="I22" s="6"/>
      <c r="J22" s="6"/>
      <c r="K22" s="6"/>
      <c r="L22" s="6"/>
      <c r="M22" s="6"/>
    </row>
    <row r="23" spans="1:13" x14ac:dyDescent="0.25">
      <c r="A23" s="226" t="s">
        <v>187</v>
      </c>
      <c r="B23" s="217">
        <v>6</v>
      </c>
      <c r="C23" s="6"/>
      <c r="H23" s="6"/>
      <c r="I23" s="6"/>
      <c r="J23" s="6"/>
      <c r="K23" s="6"/>
      <c r="L23" s="6"/>
      <c r="M23" s="6"/>
    </row>
    <row r="24" spans="1:13" x14ac:dyDescent="0.25">
      <c r="A24" s="227" t="s">
        <v>191</v>
      </c>
      <c r="B24" s="216">
        <v>5</v>
      </c>
      <c r="C24" s="6"/>
      <c r="H24" s="6"/>
      <c r="I24" s="6"/>
      <c r="J24" s="6"/>
      <c r="K24" s="6"/>
      <c r="L24" s="6"/>
      <c r="M24" s="6"/>
    </row>
    <row r="25" spans="1:13" x14ac:dyDescent="0.25">
      <c r="A25" s="228" t="s">
        <v>576</v>
      </c>
      <c r="B25" s="217">
        <v>2</v>
      </c>
      <c r="C25" s="6"/>
      <c r="H25" s="6"/>
      <c r="I25" s="6"/>
      <c r="J25" s="6"/>
      <c r="K25" s="6"/>
      <c r="L25" s="6"/>
      <c r="M25" s="6"/>
    </row>
    <row r="26" spans="1:13" x14ac:dyDescent="0.25">
      <c r="A26" s="229" t="s">
        <v>673</v>
      </c>
      <c r="B26" s="216">
        <v>1</v>
      </c>
      <c r="C26" s="6"/>
      <c r="H26" s="6"/>
      <c r="I26" s="6"/>
      <c r="J26" s="6"/>
      <c r="K26" s="6"/>
      <c r="L26" s="6"/>
      <c r="M26" s="6"/>
    </row>
    <row r="27" spans="1:13" x14ac:dyDescent="0.25">
      <c r="A27" s="230" t="s">
        <v>589</v>
      </c>
      <c r="B27" s="217">
        <v>1</v>
      </c>
      <c r="C27" s="6"/>
      <c r="H27" s="6"/>
      <c r="I27" s="6"/>
      <c r="J27" s="6"/>
      <c r="K27" s="6"/>
      <c r="L27" s="6"/>
      <c r="M27" s="6"/>
    </row>
    <row r="28" spans="1:13" ht="15.75" thickBot="1" x14ac:dyDescent="0.3">
      <c r="A28" s="231" t="s">
        <v>674</v>
      </c>
      <c r="B28" s="232">
        <f>SUM(B22:B27)</f>
        <v>16</v>
      </c>
      <c r="C28" s="6"/>
      <c r="H28" s="6"/>
      <c r="I28" s="6"/>
      <c r="J28" s="6"/>
      <c r="K28" s="6"/>
      <c r="L28" s="6"/>
      <c r="M28" s="6"/>
    </row>
    <row r="29" spans="1:13" x14ac:dyDescent="0.25">
      <c r="A29" s="6"/>
      <c r="B29" s="6"/>
      <c r="C29" s="6"/>
      <c r="D29" s="6"/>
      <c r="E29" s="6"/>
      <c r="F29" s="6"/>
      <c r="G29" s="6"/>
      <c r="H29" s="6"/>
      <c r="I29" s="6"/>
      <c r="J29" s="6"/>
      <c r="K29" s="6"/>
      <c r="L29" s="6"/>
      <c r="M29" s="6"/>
    </row>
    <row r="30" spans="1:13" ht="20.100000000000001" customHeight="1" thickBot="1" x14ac:dyDescent="0.3">
      <c r="A30" s="209" t="s">
        <v>675</v>
      </c>
      <c r="B30" s="209"/>
      <c r="C30" s="209"/>
      <c r="D30" s="209"/>
      <c r="E30" s="209"/>
      <c r="F30" s="209"/>
      <c r="G30" s="209"/>
      <c r="H30" s="209"/>
      <c r="I30" s="209"/>
      <c r="J30" s="209"/>
      <c r="K30" s="6"/>
      <c r="L30" s="6"/>
      <c r="M30" s="6"/>
    </row>
    <row r="31" spans="1:13" ht="30" customHeight="1" x14ac:dyDescent="0.25">
      <c r="A31" s="235" t="s">
        <v>622</v>
      </c>
      <c r="B31" s="234" t="s">
        <v>676</v>
      </c>
      <c r="C31" s="234" t="s">
        <v>186</v>
      </c>
      <c r="D31" s="234" t="s">
        <v>545</v>
      </c>
      <c r="E31" s="234" t="s">
        <v>547</v>
      </c>
      <c r="F31" s="234" t="s">
        <v>677</v>
      </c>
      <c r="G31" s="234" t="s">
        <v>678</v>
      </c>
      <c r="H31" s="234" t="s">
        <v>679</v>
      </c>
      <c r="I31" s="234" t="s">
        <v>680</v>
      </c>
      <c r="J31" s="236" t="s">
        <v>626</v>
      </c>
      <c r="K31" s="6"/>
      <c r="L31" s="6"/>
      <c r="M31" s="6"/>
    </row>
    <row r="32" spans="1:13" x14ac:dyDescent="0.25">
      <c r="A32" s="237" t="str">
        <f>IF($B32="","",IFERROR(_xlfn.XLOOKUP($B32,$B$3:$B$20,$A$3:$A$20),""))</f>
        <v/>
      </c>
      <c r="B32" s="239"/>
      <c r="C32" s="184" t="str">
        <f>IF($B32="","",IFERROR(_xlfn.XLOOKUP($B32,$B$3:$B$20,$C$3:$C$20),""))</f>
        <v/>
      </c>
      <c r="D32" s="185" t="str">
        <f>IF($B32="","",IFERROR(_xlfn.XLOOKUP($B32,$B$3:$B$20,$D$3:$D$20),""))</f>
        <v/>
      </c>
      <c r="E32" s="197" t="str">
        <f>IF($B32="","",IFERROR(_xlfn.XLOOKUP($B32,$B$3:$B$20,$E$3:$E$20),""))</f>
        <v/>
      </c>
      <c r="F32" s="200" t="str">
        <f>IF($B32="","",IFERROR(_xlfn.XLOOKUP($B32,$B$3:$B$20,$F$3:$F$20),""))</f>
        <v/>
      </c>
      <c r="G32" s="200" t="str">
        <f>IF($B32="","",IFERROR(_xlfn.XLOOKUP($B32,$B$3:$B$20,$G$3:$G$20),""))</f>
        <v/>
      </c>
      <c r="H32" s="200" t="str">
        <f>IF($B32="","",IF(OR($B33="",$G32&lt;&gt;$G33),$G32,IF($G32=1,IF($E32&lt;=$E33,1,2),IF($E32&lt;=$E33,MAX(1,$G32-1),$G32))))</f>
        <v/>
      </c>
      <c r="I32" s="185" t="str">
        <f>IF($H32="","","Round "&amp;$H32)</f>
        <v/>
      </c>
      <c r="J32" s="241" t="str">
        <f>IF(OR($B32="",$F32=""),"",$F32-$H32)</f>
        <v/>
      </c>
      <c r="K32" s="6"/>
      <c r="L32" s="6"/>
      <c r="M32" s="6"/>
    </row>
    <row r="33" spans="1:13" x14ac:dyDescent="0.25">
      <c r="A33" s="238" t="str">
        <f>IF($B33="","",IFERROR(_xlfn.XLOOKUP($B33,$B$3:$B$20,$A$3:$A$20),""))</f>
        <v/>
      </c>
      <c r="B33" s="240"/>
      <c r="C33" s="186" t="str">
        <f>IF($B33="","",IFERROR(_xlfn.XLOOKUP($B33,$B$3:$B$20,$C$3:$C$20),""))</f>
        <v/>
      </c>
      <c r="D33" s="187" t="str">
        <f>IF($B33="","",IFERROR(_xlfn.XLOOKUP($B33,$B$3:$B$20,$D$3:$D$20),""))</f>
        <v/>
      </c>
      <c r="E33" s="198" t="str">
        <f>IF($B33="","",IFERROR(_xlfn.XLOOKUP($B33,$B$3:$B$20,$E$3:$E$20),""))</f>
        <v/>
      </c>
      <c r="F33" s="201" t="str">
        <f>IF($B33="","",IFERROR(_xlfn.XLOOKUP($B33,$B$3:$B$20,$F$3:$F$20),""))</f>
        <v/>
      </c>
      <c r="G33" s="201" t="str">
        <f>IF($B33="","",IFERROR(_xlfn.XLOOKUP($B33,$B$3:$B$20,$G$3:$G$20),""))</f>
        <v/>
      </c>
      <c r="H33" s="201" t="str">
        <f>IF($B33="","",IF(OR($B32="",$G33&lt;&gt;$G32),$G33,IF($G33=1,IF($E33&lt;=$E32,1,2),IF($E33&lt;=$E32,MAX(1,$G33-1),$G33))))</f>
        <v/>
      </c>
      <c r="I33" s="187" t="str">
        <f>IF($H33="","","Round "&amp;$H33)</f>
        <v/>
      </c>
      <c r="J33" s="242" t="str">
        <f>IF(OR($B33="",$F33=""),"",$F33-$H33)</f>
        <v/>
      </c>
      <c r="K33" s="6"/>
      <c r="L33" s="6"/>
      <c r="M33" s="6"/>
    </row>
    <row r="34" spans="1:13" ht="15.75" thickBot="1" x14ac:dyDescent="0.3">
      <c r="A34" s="248" t="s">
        <v>681</v>
      </c>
      <c r="B34" s="243"/>
      <c r="C34" s="244"/>
      <c r="D34" s="244"/>
      <c r="E34" s="244"/>
      <c r="F34" s="244"/>
      <c r="G34" s="245" t="str">
        <f>IF(COUNT($G$32:$G$33)=0,"",SUM($G$32:$G$33))</f>
        <v/>
      </c>
      <c r="H34" s="245" t="str">
        <f>IF(COUNT($H$32:$H$33)=0,"",SUM($H$32:$H$33))</f>
        <v/>
      </c>
      <c r="I34" s="246"/>
      <c r="J34" s="247" t="str">
        <f>IF(COUNT($J$32:$J$33)=0,"",SUM($J$32:$J$33))</f>
        <v/>
      </c>
      <c r="K34" s="6"/>
      <c r="L34" s="6"/>
      <c r="M34" s="6"/>
    </row>
    <row r="35" spans="1:13" ht="15.75" thickBot="1" x14ac:dyDescent="0.3">
      <c r="A35" s="6"/>
      <c r="B35" s="6"/>
      <c r="C35" s="6"/>
      <c r="D35" s="6"/>
      <c r="E35" s="6"/>
      <c r="F35" s="6"/>
      <c r="G35" s="6"/>
      <c r="H35" s="6"/>
      <c r="I35" s="6"/>
      <c r="J35" s="6"/>
      <c r="K35" s="6"/>
      <c r="L35" s="6"/>
      <c r="M35" s="6"/>
    </row>
    <row r="36" spans="1:13" ht="20.100000000000001" customHeight="1" x14ac:dyDescent="0.25">
      <c r="A36" s="211" t="s">
        <v>682</v>
      </c>
      <c r="B36" s="210"/>
      <c r="C36" s="210"/>
      <c r="D36" s="210"/>
      <c r="E36" s="210"/>
      <c r="F36" s="210"/>
      <c r="G36" s="210"/>
      <c r="H36" s="210"/>
      <c r="I36" s="210"/>
      <c r="J36" s="215"/>
      <c r="K36" s="6"/>
      <c r="L36" s="6"/>
      <c r="M36" s="6"/>
    </row>
    <row r="37" spans="1:13" ht="30" customHeight="1" x14ac:dyDescent="0.25">
      <c r="A37" s="252" t="s">
        <v>683</v>
      </c>
      <c r="B37" s="249"/>
      <c r="C37" s="249"/>
      <c r="D37" s="249"/>
      <c r="E37" s="249"/>
      <c r="F37" s="249"/>
      <c r="G37" s="249"/>
      <c r="H37" s="249"/>
      <c r="I37" s="249"/>
      <c r="J37" s="255"/>
      <c r="K37" s="6"/>
      <c r="L37" s="6"/>
      <c r="M37" s="6"/>
    </row>
    <row r="38" spans="1:13" ht="30" customHeight="1" x14ac:dyDescent="0.25">
      <c r="A38" s="253" t="s">
        <v>684</v>
      </c>
      <c r="B38" s="250"/>
      <c r="C38" s="250"/>
      <c r="D38" s="250"/>
      <c r="E38" s="250"/>
      <c r="F38" s="250"/>
      <c r="G38" s="250"/>
      <c r="H38" s="250"/>
      <c r="I38" s="250"/>
      <c r="J38" s="256"/>
      <c r="K38" s="6"/>
      <c r="L38" s="6"/>
      <c r="M38" s="6"/>
    </row>
    <row r="39" spans="1:13" ht="30" customHeight="1" x14ac:dyDescent="0.25">
      <c r="A39" s="252" t="s">
        <v>685</v>
      </c>
      <c r="B39" s="249"/>
      <c r="C39" s="249"/>
      <c r="D39" s="249"/>
      <c r="E39" s="249"/>
      <c r="F39" s="249"/>
      <c r="G39" s="249"/>
      <c r="H39" s="249"/>
      <c r="I39" s="249"/>
      <c r="J39" s="255"/>
      <c r="K39" s="6"/>
      <c r="L39" s="6"/>
      <c r="M39" s="6"/>
    </row>
    <row r="40" spans="1:13" ht="15.95" customHeight="1" x14ac:dyDescent="0.25">
      <c r="A40" s="253" t="str" cm="1">
        <f t="array" ref="A40">"Rounds traded away: "&amp;_xlfn.LET(_xlpm.sl,MATCH(TRUE,EXACT('Draft Order-Traded Picks'!$B$2:$K$2,$M$13),0),_xlpm.g,INDEX('Draft Order-Traded Picks'!$B$3:$K$18,_xlfn.SEQUENCE(16),_xlpm.sl),IF(SUMPRODUCT(--(_xlpm.g&lt;&gt;""))=0,"none",_xlfn.TEXTJOIN(", ",TRUE,IF(_xlpm.g&lt;&gt;"","Rd "&amp;_xlfn.SEQUENCE(16),""))))</f>
        <v>Rounds traded away: none</v>
      </c>
      <c r="B40" s="250"/>
      <c r="C40" s="250"/>
      <c r="D40" s="250"/>
      <c r="E40" s="250"/>
      <c r="F40" s="250"/>
      <c r="G40" s="250"/>
      <c r="H40" s="250"/>
      <c r="I40" s="250"/>
      <c r="J40" s="256"/>
      <c r="K40" s="6"/>
      <c r="L40" s="6"/>
      <c r="M40" s="6"/>
    </row>
    <row r="41" spans="1:13" ht="15.95" customHeight="1" x14ac:dyDescent="0.25">
      <c r="A41" s="252" t="str" cm="1">
        <f t="array" ref="A41">"Rounds acquired: "&amp;_xlfn.LET(_xlpm.m,MMULT(--EXACT('Draft Order-Traded Picks'!$B$3:$K$18,$M$12),_xlfn.SEQUENCE(10,1,1,0)),IF(SUM(_xlpm.m)=0,"none",_xlfn.TEXTJOIN(", ",TRUE,IF(_xlpm.m&gt;0,"Rd "&amp;_xlfn.SEQUENCE(16)&amp;IF(_xlpm.m&gt;1," (x"&amp;_xlpm.m&amp;")",""),""))&amp;"  -  "&amp;SUM(_xlpm.m)&amp;" pick(s) total"))</f>
        <v>Rounds acquired: none</v>
      </c>
      <c r="B41" s="249"/>
      <c r="C41" s="249"/>
      <c r="D41" s="249"/>
      <c r="E41" s="249"/>
      <c r="F41" s="249"/>
      <c r="G41" s="249"/>
      <c r="H41" s="249"/>
      <c r="I41" s="249"/>
      <c r="J41" s="255"/>
      <c r="K41" s="6"/>
      <c r="L41" s="6"/>
      <c r="M41" s="6"/>
    </row>
    <row r="42" spans="1:13" ht="30" customHeight="1" thickBot="1" x14ac:dyDescent="0.3">
      <c r="A42" s="254" t="s">
        <v>696</v>
      </c>
      <c r="B42" s="251"/>
      <c r="C42" s="251"/>
      <c r="D42" s="251"/>
      <c r="E42" s="251"/>
      <c r="F42" s="251"/>
      <c r="G42" s="251"/>
      <c r="H42" s="251"/>
      <c r="I42" s="251"/>
      <c r="J42" s="257"/>
      <c r="K42" s="6"/>
      <c r="L42" s="6"/>
      <c r="M42" s="6"/>
    </row>
  </sheetData>
  <mergeCells count="11">
    <mergeCell ref="A37:J37"/>
    <mergeCell ref="A38:J38"/>
    <mergeCell ref="A39:J39"/>
    <mergeCell ref="A40:J40"/>
    <mergeCell ref="A41:J41"/>
    <mergeCell ref="A42:J42"/>
    <mergeCell ref="A1:J1"/>
    <mergeCell ref="L2:M2"/>
    <mergeCell ref="A21:B21"/>
    <mergeCell ref="A30:J30"/>
    <mergeCell ref="A36:J36"/>
  </mergeCells>
  <conditionalFormatting sqref="A3:J20">
    <cfRule type="expression" dxfId="175" priority="1">
      <formula>AND($B3&lt;&gt;"",MOD(ROW(),2)=0)</formula>
    </cfRule>
  </conditionalFormatting>
  <conditionalFormatting sqref="C3:C20">
    <cfRule type="containsText" dxfId="174" priority="2" operator="containsText" text="QB">
      <formula>NOT(ISERROR(SEARCH("QB",C3)))</formula>
    </cfRule>
  </conditionalFormatting>
  <conditionalFormatting sqref="C3:C20">
    <cfRule type="containsText" dxfId="173" priority="3" operator="containsText" text="RB">
      <formula>NOT(ISERROR(SEARCH("RB",C3)))</formula>
    </cfRule>
  </conditionalFormatting>
  <conditionalFormatting sqref="C3:C20">
    <cfRule type="containsText" dxfId="172" priority="4" operator="containsText" text="WR">
      <formula>NOT(ISERROR(SEARCH("WR",C3)))</formula>
    </cfRule>
  </conditionalFormatting>
  <conditionalFormatting sqref="C3:C20">
    <cfRule type="containsText" dxfId="171" priority="5" operator="containsText" text="TE">
      <formula>NOT(ISERROR(SEARCH("TE",C3)))</formula>
    </cfRule>
  </conditionalFormatting>
  <conditionalFormatting sqref="C3:C20">
    <cfRule type="containsText" dxfId="170" priority="6" operator="containsText" text="K">
      <formula>NOT(ISERROR(SEARCH("K",C3)))</formula>
    </cfRule>
  </conditionalFormatting>
  <conditionalFormatting sqref="C3:C20">
    <cfRule type="containsText" dxfId="169" priority="7" operator="containsText" text="DEF">
      <formula>NOT(ISERROR(SEARCH("DEF",C3)))</formula>
    </cfRule>
  </conditionalFormatting>
  <conditionalFormatting sqref="C32:C33">
    <cfRule type="containsText" dxfId="168" priority="8" operator="containsText" text="QB">
      <formula>NOT(ISERROR(SEARCH("QB",C32)))</formula>
    </cfRule>
  </conditionalFormatting>
  <conditionalFormatting sqref="C32:C33">
    <cfRule type="containsText" dxfId="167" priority="9" operator="containsText" text="RB">
      <formula>NOT(ISERROR(SEARCH("RB",C32)))</formula>
    </cfRule>
  </conditionalFormatting>
  <conditionalFormatting sqref="C32:C33">
    <cfRule type="containsText" dxfId="166" priority="10" operator="containsText" text="WR">
      <formula>NOT(ISERROR(SEARCH("WR",C32)))</formula>
    </cfRule>
  </conditionalFormatting>
  <conditionalFormatting sqref="C32:C33">
    <cfRule type="containsText" dxfId="165" priority="11" operator="containsText" text="TE">
      <formula>NOT(ISERROR(SEARCH("TE",C32)))</formula>
    </cfRule>
  </conditionalFormatting>
  <conditionalFormatting sqref="C32:C33">
    <cfRule type="containsText" dxfId="164" priority="12" operator="containsText" text="K">
      <formula>NOT(ISERROR(SEARCH("K",C32)))</formula>
    </cfRule>
  </conditionalFormatting>
  <conditionalFormatting sqref="C32:C33">
    <cfRule type="containsText" dxfId="163" priority="13" operator="containsText" text="DEF">
      <formula>NOT(ISERROR(SEARCH("DEF",C32)))</formula>
    </cfRule>
  </conditionalFormatting>
  <conditionalFormatting sqref="I3:I20">
    <cfRule type="expression" dxfId="162" priority="14">
      <formula>$I3&lt;&gt;""</formula>
    </cfRule>
  </conditionalFormatting>
  <conditionalFormatting sqref="J3:J20">
    <cfRule type="expression" dxfId="161" priority="15">
      <formula>ISNUMBER(SEARCH("Waiver",$J3))</formula>
    </cfRule>
  </conditionalFormatting>
  <conditionalFormatting sqref="H32:H33">
    <cfRule type="expression" dxfId="160" priority="20">
      <formula>AND($B32&lt;&gt;"",$H32&lt;&gt;$G32)</formula>
    </cfRule>
  </conditionalFormatting>
  <conditionalFormatting sqref="B32:B33">
    <cfRule type="expression" dxfId="159" priority="21">
      <formula>AND($B32&lt;&gt;"",COUNTIF($B$32:$B$33,$B32)&gt;1)</formula>
    </cfRule>
  </conditionalFormatting>
  <conditionalFormatting sqref="H3:H20">
    <cfRule type="expression" dxfId="31" priority="22">
      <formula>AND(ISNUMBER($H3),$H3&gt;0)</formula>
    </cfRule>
  </conditionalFormatting>
  <conditionalFormatting sqref="H3:H20">
    <cfRule type="expression" dxfId="30" priority="23">
      <formula>AND(ISNUMBER($H3),$H3&lt;0)</formula>
    </cfRule>
  </conditionalFormatting>
  <conditionalFormatting sqref="J32:J34">
    <cfRule type="expression" dxfId="29" priority="24">
      <formula>AND(ISNUMBER($J32),$J32&gt;0)</formula>
    </cfRule>
  </conditionalFormatting>
  <conditionalFormatting sqref="J32:J34">
    <cfRule type="expression" dxfId="28" priority="25">
      <formula>AND(ISNUMBER($J32),$J32&lt;0)</formula>
    </cfRule>
  </conditionalFormatting>
  <dataValidations count="1">
    <dataValidation type="list" allowBlank="1" showInputMessage="1" showErrorMessage="1" errorTitle="Not on this roster" error="Pick a player from this team's roster list above." promptTitle="Keeper selection" prompt="Choose one of this team's players. Keeper cost and value update automatically." sqref="B32:B33" xr:uid="{BA0D1186-20D1-498C-AC69-9BFD7E11EDC0}">
      <formula1>$B$3:$B$20</formula1>
    </dataValidation>
  </dataValidations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6482581-9978-4D20-A8D8-5B868A3E3FBB}">
  <sheetPr>
    <tabColor rgb="FF1F4E79"/>
  </sheetPr>
  <dimension ref="A1:M42"/>
  <sheetViews>
    <sheetView workbookViewId="0">
      <pane ySplit="2" topLeftCell="A3" activePane="bottomLeft" state="frozen"/>
      <selection pane="bottomLeft" sqref="A1:J1"/>
    </sheetView>
  </sheetViews>
  <sheetFormatPr defaultRowHeight="15" x14ac:dyDescent="0.25"/>
  <cols>
    <col min="1" max="1" width="21.5703125" customWidth="1"/>
    <col min="2" max="2" width="41.85546875" customWidth="1"/>
    <col min="3" max="3" width="12.7109375" customWidth="1"/>
    <col min="4" max="4" width="29.140625" customWidth="1"/>
    <col min="5" max="5" width="25.28515625" customWidth="1"/>
    <col min="6" max="6" width="21.5703125" customWidth="1"/>
    <col min="7" max="7" width="25.28515625" customWidth="1"/>
    <col min="8" max="8" width="20.42578125" customWidth="1"/>
    <col min="9" max="9" width="24.140625" customWidth="1"/>
    <col min="10" max="10" width="35.5703125" customWidth="1"/>
    <col min="11" max="11" width="4.5703125" customWidth="1"/>
    <col min="12" max="12" width="38.140625" customWidth="1"/>
    <col min="13" max="13" width="33" customWidth="1"/>
  </cols>
  <sheetData>
    <row r="1" spans="1:13" ht="30" customHeight="1" thickBot="1" x14ac:dyDescent="0.3">
      <c r="A1" s="183" t="s">
        <v>688</v>
      </c>
      <c r="B1" s="183"/>
      <c r="C1" s="183"/>
      <c r="D1" s="183"/>
      <c r="E1" s="183"/>
      <c r="F1" s="183"/>
      <c r="G1" s="183"/>
      <c r="H1" s="183"/>
      <c r="I1" s="183"/>
      <c r="J1" s="183"/>
      <c r="K1" s="6"/>
      <c r="L1" s="6"/>
      <c r="M1" s="6"/>
    </row>
    <row r="2" spans="1:13" ht="42" customHeight="1" x14ac:dyDescent="0.25">
      <c r="A2" s="191" t="s">
        <v>622</v>
      </c>
      <c r="B2" s="189" t="s">
        <v>354</v>
      </c>
      <c r="C2" s="189" t="s">
        <v>186</v>
      </c>
      <c r="D2" s="189" t="s">
        <v>545</v>
      </c>
      <c r="E2" s="189" t="s">
        <v>623</v>
      </c>
      <c r="F2" s="189" t="s">
        <v>624</v>
      </c>
      <c r="G2" s="189" t="s">
        <v>625</v>
      </c>
      <c r="H2" s="189" t="s">
        <v>626</v>
      </c>
      <c r="I2" s="189" t="s">
        <v>627</v>
      </c>
      <c r="J2" s="192" t="s">
        <v>628</v>
      </c>
      <c r="K2" s="6"/>
      <c r="L2" s="211" t="s">
        <v>661</v>
      </c>
      <c r="M2" s="215"/>
    </row>
    <row r="3" spans="1:13" x14ac:dyDescent="0.25">
      <c r="A3" s="193" t="s">
        <v>630</v>
      </c>
      <c r="B3" s="195" t="s">
        <v>44</v>
      </c>
      <c r="C3" s="185" t="s">
        <v>575</v>
      </c>
      <c r="D3" s="185" t="s">
        <v>558</v>
      </c>
      <c r="E3" s="197">
        <v>53.8</v>
      </c>
      <c r="F3" s="200">
        <v>6</v>
      </c>
      <c r="G3" s="200">
        <v>8</v>
      </c>
      <c r="H3" s="203">
        <v>2</v>
      </c>
      <c r="I3" s="185"/>
      <c r="J3" s="206" t="s">
        <v>631</v>
      </c>
      <c r="K3" s="6"/>
      <c r="L3" s="212" t="s">
        <v>662</v>
      </c>
      <c r="M3" s="216">
        <v>18</v>
      </c>
    </row>
    <row r="4" spans="1:13" x14ac:dyDescent="0.25">
      <c r="A4" s="194" t="s">
        <v>630</v>
      </c>
      <c r="B4" s="196" t="s">
        <v>137</v>
      </c>
      <c r="C4" s="187" t="s">
        <v>575</v>
      </c>
      <c r="D4" s="187" t="s">
        <v>574</v>
      </c>
      <c r="E4" s="198">
        <v>132.5</v>
      </c>
      <c r="F4" s="201">
        <v>14</v>
      </c>
      <c r="G4" s="201">
        <v>8</v>
      </c>
      <c r="H4" s="204">
        <v>-6</v>
      </c>
      <c r="I4" s="187"/>
      <c r="J4" s="207" t="s">
        <v>631</v>
      </c>
      <c r="K4" s="6"/>
      <c r="L4" s="213" t="s">
        <v>663</v>
      </c>
      <c r="M4" s="217">
        <v>2</v>
      </c>
    </row>
    <row r="5" spans="1:13" x14ac:dyDescent="0.25">
      <c r="A5" s="194" t="s">
        <v>650</v>
      </c>
      <c r="B5" s="196" t="s">
        <v>114</v>
      </c>
      <c r="C5" s="187" t="s">
        <v>187</v>
      </c>
      <c r="D5" s="187" t="s">
        <v>557</v>
      </c>
      <c r="E5" s="198">
        <v>10.1</v>
      </c>
      <c r="F5" s="201">
        <v>2</v>
      </c>
      <c r="G5" s="201">
        <v>9</v>
      </c>
      <c r="H5" s="204">
        <v>7</v>
      </c>
      <c r="I5" s="187" t="s">
        <v>633</v>
      </c>
      <c r="J5" s="207" t="s">
        <v>634</v>
      </c>
      <c r="K5" s="6"/>
      <c r="L5" s="212" t="s">
        <v>664</v>
      </c>
      <c r="M5" s="218">
        <v>74.181250000000006</v>
      </c>
    </row>
    <row r="6" spans="1:13" x14ac:dyDescent="0.25">
      <c r="A6" s="194" t="s">
        <v>646</v>
      </c>
      <c r="B6" s="196" t="s">
        <v>74</v>
      </c>
      <c r="C6" s="187" t="s">
        <v>187</v>
      </c>
      <c r="D6" s="187" t="s">
        <v>570</v>
      </c>
      <c r="E6" s="198">
        <v>28.9</v>
      </c>
      <c r="F6" s="201">
        <v>3</v>
      </c>
      <c r="G6" s="201">
        <v>4</v>
      </c>
      <c r="H6" s="204">
        <v>1</v>
      </c>
      <c r="I6" s="187"/>
      <c r="J6" s="207" t="s">
        <v>634</v>
      </c>
      <c r="K6" s="6"/>
      <c r="L6" s="213" t="s">
        <v>665</v>
      </c>
      <c r="M6" s="219">
        <v>7</v>
      </c>
    </row>
    <row r="7" spans="1:13" x14ac:dyDescent="0.25">
      <c r="A7" s="194" t="s">
        <v>632</v>
      </c>
      <c r="B7" s="196" t="s">
        <v>17</v>
      </c>
      <c r="C7" s="187" t="s">
        <v>187</v>
      </c>
      <c r="D7" s="187" t="s">
        <v>574</v>
      </c>
      <c r="E7" s="198">
        <v>30</v>
      </c>
      <c r="F7" s="201">
        <v>3</v>
      </c>
      <c r="G7" s="201">
        <v>1</v>
      </c>
      <c r="H7" s="204">
        <v>-2</v>
      </c>
      <c r="I7" s="187"/>
      <c r="J7" s="207" t="s">
        <v>634</v>
      </c>
      <c r="K7" s="6"/>
      <c r="L7" s="212" t="s">
        <v>666</v>
      </c>
      <c r="M7" s="216" t="s">
        <v>247</v>
      </c>
    </row>
    <row r="8" spans="1:13" x14ac:dyDescent="0.25">
      <c r="A8" s="194" t="s">
        <v>645</v>
      </c>
      <c r="B8" s="196" t="s">
        <v>247</v>
      </c>
      <c r="C8" s="187" t="s">
        <v>187</v>
      </c>
      <c r="D8" s="187" t="s">
        <v>571</v>
      </c>
      <c r="E8" s="198">
        <v>34.1</v>
      </c>
      <c r="F8" s="201">
        <v>4</v>
      </c>
      <c r="G8" s="201">
        <v>11</v>
      </c>
      <c r="H8" s="204">
        <v>7</v>
      </c>
      <c r="I8" s="187"/>
      <c r="J8" s="207" t="s">
        <v>634</v>
      </c>
      <c r="K8" s="6"/>
      <c r="L8" s="213" t="s">
        <v>667</v>
      </c>
      <c r="M8" s="217">
        <v>2</v>
      </c>
    </row>
    <row r="9" spans="1:13" ht="15.75" thickBot="1" x14ac:dyDescent="0.3">
      <c r="A9" s="194" t="s">
        <v>637</v>
      </c>
      <c r="B9" s="196" t="s">
        <v>129</v>
      </c>
      <c r="C9" s="187" t="s">
        <v>187</v>
      </c>
      <c r="D9" s="187" t="s">
        <v>559</v>
      </c>
      <c r="E9" s="198">
        <v>98.2</v>
      </c>
      <c r="F9" s="201">
        <v>10</v>
      </c>
      <c r="G9" s="201">
        <v>6</v>
      </c>
      <c r="H9" s="204">
        <v>-4</v>
      </c>
      <c r="I9" s="187"/>
      <c r="J9" s="207" t="s">
        <v>634</v>
      </c>
      <c r="K9" s="6"/>
      <c r="L9" s="214" t="s">
        <v>668</v>
      </c>
      <c r="M9" s="220">
        <v>5</v>
      </c>
    </row>
    <row r="10" spans="1:13" x14ac:dyDescent="0.25">
      <c r="A10" s="194" t="s">
        <v>630</v>
      </c>
      <c r="B10" s="196" t="s">
        <v>392</v>
      </c>
      <c r="C10" s="187" t="s">
        <v>187</v>
      </c>
      <c r="D10" s="187" t="s">
        <v>561</v>
      </c>
      <c r="E10" s="198"/>
      <c r="F10" s="201"/>
      <c r="G10" s="201">
        <v>8</v>
      </c>
      <c r="H10" s="204"/>
      <c r="I10" s="187"/>
      <c r="J10" s="207" t="s">
        <v>631</v>
      </c>
      <c r="K10" s="6"/>
      <c r="L10" s="6"/>
      <c r="M10" s="6"/>
    </row>
    <row r="11" spans="1:13" x14ac:dyDescent="0.25">
      <c r="A11" s="194" t="s">
        <v>642</v>
      </c>
      <c r="B11" s="196" t="s">
        <v>245</v>
      </c>
      <c r="C11" s="187" t="s">
        <v>191</v>
      </c>
      <c r="D11" s="187" t="s">
        <v>577</v>
      </c>
      <c r="E11" s="198">
        <v>33.6</v>
      </c>
      <c r="F11" s="201">
        <v>4</v>
      </c>
      <c r="G11" s="201">
        <v>5</v>
      </c>
      <c r="H11" s="204">
        <v>1</v>
      </c>
      <c r="I11" s="187"/>
      <c r="J11" s="207" t="s">
        <v>634</v>
      </c>
      <c r="K11" s="6"/>
      <c r="L11" s="221" t="s">
        <v>669</v>
      </c>
      <c r="M11" s="221" t="s">
        <v>653</v>
      </c>
    </row>
    <row r="12" spans="1:13" x14ac:dyDescent="0.25">
      <c r="A12" s="194" t="s">
        <v>643</v>
      </c>
      <c r="B12" s="196" t="s">
        <v>57</v>
      </c>
      <c r="C12" s="187" t="s">
        <v>191</v>
      </c>
      <c r="D12" s="187" t="s">
        <v>553</v>
      </c>
      <c r="E12" s="198">
        <v>36.6</v>
      </c>
      <c r="F12" s="201">
        <v>4</v>
      </c>
      <c r="G12" s="201">
        <v>2</v>
      </c>
      <c r="H12" s="204">
        <v>-2</v>
      </c>
      <c r="I12" s="187"/>
      <c r="J12" s="207" t="s">
        <v>634</v>
      </c>
      <c r="K12" s="6"/>
      <c r="L12" s="221" t="s">
        <v>670</v>
      </c>
      <c r="M12" s="221" t="s">
        <v>360</v>
      </c>
    </row>
    <row r="13" spans="1:13" ht="23.25" x14ac:dyDescent="0.25">
      <c r="A13" s="194" t="s">
        <v>630</v>
      </c>
      <c r="B13" s="196" t="s">
        <v>55</v>
      </c>
      <c r="C13" s="187" t="s">
        <v>191</v>
      </c>
      <c r="D13" s="187" t="s">
        <v>560</v>
      </c>
      <c r="E13" s="198">
        <v>50.7</v>
      </c>
      <c r="F13" s="201">
        <v>6</v>
      </c>
      <c r="G13" s="201">
        <v>8</v>
      </c>
      <c r="H13" s="204">
        <v>2</v>
      </c>
      <c r="I13" s="187"/>
      <c r="J13" s="207" t="s">
        <v>631</v>
      </c>
      <c r="K13" s="6"/>
      <c r="L13" s="221" t="s">
        <v>671</v>
      </c>
      <c r="M13" s="222" t="s">
        <v>73</v>
      </c>
    </row>
    <row r="14" spans="1:13" x14ac:dyDescent="0.25">
      <c r="A14" s="194" t="s">
        <v>635</v>
      </c>
      <c r="B14" s="196" t="s">
        <v>9</v>
      </c>
      <c r="C14" s="187" t="s">
        <v>191</v>
      </c>
      <c r="D14" s="187" t="s">
        <v>555</v>
      </c>
      <c r="E14" s="198">
        <v>54.9</v>
      </c>
      <c r="F14" s="201">
        <v>6</v>
      </c>
      <c r="G14" s="201">
        <v>2</v>
      </c>
      <c r="H14" s="204">
        <v>-4</v>
      </c>
      <c r="I14" s="187" t="s">
        <v>633</v>
      </c>
      <c r="J14" s="207" t="s">
        <v>634</v>
      </c>
      <c r="K14" s="6"/>
      <c r="L14" s="6"/>
      <c r="M14" s="6"/>
    </row>
    <row r="15" spans="1:13" x14ac:dyDescent="0.25">
      <c r="A15" s="194" t="s">
        <v>636</v>
      </c>
      <c r="B15" s="196" t="s">
        <v>246</v>
      </c>
      <c r="C15" s="187" t="s">
        <v>191</v>
      </c>
      <c r="D15" s="187" t="s">
        <v>555</v>
      </c>
      <c r="E15" s="198">
        <v>108.9</v>
      </c>
      <c r="F15" s="201">
        <v>11</v>
      </c>
      <c r="G15" s="201">
        <v>8</v>
      </c>
      <c r="H15" s="204">
        <v>-3</v>
      </c>
      <c r="I15" s="187"/>
      <c r="J15" s="207" t="s">
        <v>634</v>
      </c>
      <c r="K15" s="6"/>
      <c r="L15" s="6"/>
      <c r="M15" s="6"/>
    </row>
    <row r="16" spans="1:13" x14ac:dyDescent="0.25">
      <c r="A16" s="194" t="s">
        <v>630</v>
      </c>
      <c r="B16" s="196" t="s">
        <v>56</v>
      </c>
      <c r="C16" s="187" t="s">
        <v>191</v>
      </c>
      <c r="D16" s="187" t="s">
        <v>582</v>
      </c>
      <c r="E16" s="198">
        <v>132.5</v>
      </c>
      <c r="F16" s="201">
        <v>14</v>
      </c>
      <c r="G16" s="201">
        <v>8</v>
      </c>
      <c r="H16" s="204">
        <v>-6</v>
      </c>
      <c r="I16" s="187"/>
      <c r="J16" s="207" t="s">
        <v>631</v>
      </c>
      <c r="K16" s="6"/>
      <c r="L16" s="6"/>
      <c r="M16" s="6"/>
    </row>
    <row r="17" spans="1:13" x14ac:dyDescent="0.25">
      <c r="A17" s="194" t="s">
        <v>644</v>
      </c>
      <c r="B17" s="196" t="s">
        <v>46</v>
      </c>
      <c r="C17" s="187" t="s">
        <v>576</v>
      </c>
      <c r="D17" s="187" t="s">
        <v>565</v>
      </c>
      <c r="E17" s="198">
        <v>115.5</v>
      </c>
      <c r="F17" s="201">
        <v>12</v>
      </c>
      <c r="G17" s="201">
        <v>16</v>
      </c>
      <c r="H17" s="204">
        <v>4</v>
      </c>
      <c r="I17" s="187"/>
      <c r="J17" s="207" t="s">
        <v>634</v>
      </c>
      <c r="K17" s="6"/>
      <c r="L17" s="6"/>
      <c r="M17" s="6"/>
    </row>
    <row r="18" spans="1:13" x14ac:dyDescent="0.25">
      <c r="A18" s="194" t="s">
        <v>639</v>
      </c>
      <c r="B18" s="196" t="s">
        <v>38</v>
      </c>
      <c r="C18" s="187" t="s">
        <v>576</v>
      </c>
      <c r="D18" s="187" t="s">
        <v>563</v>
      </c>
      <c r="E18" s="198">
        <v>136.30000000000001</v>
      </c>
      <c r="F18" s="201">
        <v>14</v>
      </c>
      <c r="G18" s="201">
        <v>7</v>
      </c>
      <c r="H18" s="204">
        <v>-7</v>
      </c>
      <c r="I18" s="187"/>
      <c r="J18" s="207" t="s">
        <v>634</v>
      </c>
      <c r="K18" s="6"/>
      <c r="L18" s="6"/>
      <c r="M18" s="6"/>
    </row>
    <row r="19" spans="1:13" x14ac:dyDescent="0.25">
      <c r="A19" s="194" t="s">
        <v>638</v>
      </c>
      <c r="B19" s="196" t="s">
        <v>116</v>
      </c>
      <c r="C19" s="187" t="s">
        <v>673</v>
      </c>
      <c r="D19" s="187" t="s">
        <v>558</v>
      </c>
      <c r="E19" s="198">
        <v>130.30000000000001</v>
      </c>
      <c r="F19" s="201">
        <v>14</v>
      </c>
      <c r="G19" s="201">
        <v>12</v>
      </c>
      <c r="H19" s="204">
        <v>-2</v>
      </c>
      <c r="I19" s="187"/>
      <c r="J19" s="207" t="s">
        <v>634</v>
      </c>
      <c r="K19" s="6"/>
      <c r="L19" s="6"/>
      <c r="M19" s="6"/>
    </row>
    <row r="20" spans="1:13" ht="15.75" thickBot="1" x14ac:dyDescent="0.3">
      <c r="A20" s="223" t="s">
        <v>654</v>
      </c>
      <c r="B20" s="224" t="s">
        <v>249</v>
      </c>
      <c r="C20" s="190" t="s">
        <v>589</v>
      </c>
      <c r="D20" s="188" t="s">
        <v>560</v>
      </c>
      <c r="E20" s="233"/>
      <c r="F20" s="202"/>
      <c r="G20" s="202">
        <v>15</v>
      </c>
      <c r="H20" s="205"/>
      <c r="I20" s="190"/>
      <c r="J20" s="208" t="s">
        <v>634</v>
      </c>
      <c r="K20" s="6"/>
      <c r="L20" s="6"/>
      <c r="M20" s="6"/>
    </row>
    <row r="21" spans="1:13" ht="20.100000000000001" customHeight="1" x14ac:dyDescent="0.25">
      <c r="A21" s="211" t="s">
        <v>672</v>
      </c>
      <c r="B21" s="215"/>
      <c r="C21" s="6"/>
      <c r="H21" s="6"/>
      <c r="I21" s="6"/>
      <c r="J21" s="6"/>
      <c r="K21" s="6"/>
      <c r="L21" s="6"/>
      <c r="M21" s="6"/>
    </row>
    <row r="22" spans="1:13" x14ac:dyDescent="0.25">
      <c r="A22" s="225" t="s">
        <v>575</v>
      </c>
      <c r="B22" s="216">
        <v>2</v>
      </c>
      <c r="C22" s="6"/>
      <c r="H22" s="6"/>
      <c r="I22" s="6"/>
      <c r="J22" s="6"/>
      <c r="K22" s="6"/>
      <c r="L22" s="6"/>
      <c r="M22" s="6"/>
    </row>
    <row r="23" spans="1:13" x14ac:dyDescent="0.25">
      <c r="A23" s="226" t="s">
        <v>187</v>
      </c>
      <c r="B23" s="217">
        <v>6</v>
      </c>
      <c r="C23" s="6"/>
      <c r="H23" s="6"/>
      <c r="I23" s="6"/>
      <c r="J23" s="6"/>
      <c r="K23" s="6"/>
      <c r="L23" s="6"/>
      <c r="M23" s="6"/>
    </row>
    <row r="24" spans="1:13" x14ac:dyDescent="0.25">
      <c r="A24" s="227" t="s">
        <v>191</v>
      </c>
      <c r="B24" s="216">
        <v>6</v>
      </c>
      <c r="C24" s="6"/>
      <c r="H24" s="6"/>
      <c r="I24" s="6"/>
      <c r="J24" s="6"/>
      <c r="K24" s="6"/>
      <c r="L24" s="6"/>
      <c r="M24" s="6"/>
    </row>
    <row r="25" spans="1:13" x14ac:dyDescent="0.25">
      <c r="A25" s="228" t="s">
        <v>576</v>
      </c>
      <c r="B25" s="217">
        <v>2</v>
      </c>
      <c r="C25" s="6"/>
      <c r="H25" s="6"/>
      <c r="I25" s="6"/>
      <c r="J25" s="6"/>
      <c r="K25" s="6"/>
      <c r="L25" s="6"/>
      <c r="M25" s="6"/>
    </row>
    <row r="26" spans="1:13" x14ac:dyDescent="0.25">
      <c r="A26" s="229" t="s">
        <v>673</v>
      </c>
      <c r="B26" s="216">
        <v>1</v>
      </c>
      <c r="C26" s="6"/>
      <c r="H26" s="6"/>
      <c r="I26" s="6"/>
      <c r="J26" s="6"/>
      <c r="K26" s="6"/>
      <c r="L26" s="6"/>
      <c r="M26" s="6"/>
    </row>
    <row r="27" spans="1:13" x14ac:dyDescent="0.25">
      <c r="A27" s="230" t="s">
        <v>589</v>
      </c>
      <c r="B27" s="217">
        <v>1</v>
      </c>
      <c r="C27" s="6"/>
      <c r="H27" s="6"/>
      <c r="I27" s="6"/>
      <c r="J27" s="6"/>
      <c r="K27" s="6"/>
      <c r="L27" s="6"/>
      <c r="M27" s="6"/>
    </row>
    <row r="28" spans="1:13" ht="15.75" thickBot="1" x14ac:dyDescent="0.3">
      <c r="A28" s="231" t="s">
        <v>674</v>
      </c>
      <c r="B28" s="232">
        <f>SUM(B22:B27)</f>
        <v>18</v>
      </c>
      <c r="C28" s="6"/>
      <c r="H28" s="6"/>
      <c r="I28" s="6"/>
      <c r="J28" s="6"/>
      <c r="K28" s="6"/>
      <c r="L28" s="6"/>
      <c r="M28" s="6"/>
    </row>
    <row r="29" spans="1:13" x14ac:dyDescent="0.25">
      <c r="A29" s="6"/>
      <c r="B29" s="6"/>
      <c r="C29" s="6"/>
      <c r="D29" s="6"/>
      <c r="E29" s="6"/>
      <c r="F29" s="6"/>
      <c r="G29" s="6"/>
      <c r="H29" s="6"/>
      <c r="I29" s="6"/>
      <c r="J29" s="6"/>
      <c r="K29" s="6"/>
      <c r="L29" s="6"/>
      <c r="M29" s="6"/>
    </row>
    <row r="30" spans="1:13" ht="20.100000000000001" customHeight="1" thickBot="1" x14ac:dyDescent="0.3">
      <c r="A30" s="209" t="s">
        <v>675</v>
      </c>
      <c r="B30" s="209"/>
      <c r="C30" s="209"/>
      <c r="D30" s="209"/>
      <c r="E30" s="209"/>
      <c r="F30" s="209"/>
      <c r="G30" s="209"/>
      <c r="H30" s="209"/>
      <c r="I30" s="209"/>
      <c r="J30" s="209"/>
      <c r="K30" s="6"/>
      <c r="L30" s="6"/>
      <c r="M30" s="6"/>
    </row>
    <row r="31" spans="1:13" ht="30" customHeight="1" x14ac:dyDescent="0.25">
      <c r="A31" s="235" t="s">
        <v>622</v>
      </c>
      <c r="B31" s="234" t="s">
        <v>676</v>
      </c>
      <c r="C31" s="234" t="s">
        <v>186</v>
      </c>
      <c r="D31" s="234" t="s">
        <v>545</v>
      </c>
      <c r="E31" s="234" t="s">
        <v>547</v>
      </c>
      <c r="F31" s="234" t="s">
        <v>677</v>
      </c>
      <c r="G31" s="234" t="s">
        <v>678</v>
      </c>
      <c r="H31" s="234" t="s">
        <v>679</v>
      </c>
      <c r="I31" s="234" t="s">
        <v>680</v>
      </c>
      <c r="J31" s="236" t="s">
        <v>626</v>
      </c>
      <c r="K31" s="6"/>
      <c r="L31" s="6"/>
      <c r="M31" s="6"/>
    </row>
    <row r="32" spans="1:13" x14ac:dyDescent="0.25">
      <c r="A32" s="237" t="str">
        <f>IF($B32="","",IFERROR(_xlfn.XLOOKUP($B32,$B$3:$B$20,$A$3:$A$20),""))</f>
        <v/>
      </c>
      <c r="B32" s="239"/>
      <c r="C32" s="184" t="str">
        <f>IF($B32="","",IFERROR(_xlfn.XLOOKUP($B32,$B$3:$B$20,$C$3:$C$20),""))</f>
        <v/>
      </c>
      <c r="D32" s="185" t="str">
        <f>IF($B32="","",IFERROR(_xlfn.XLOOKUP($B32,$B$3:$B$20,$D$3:$D$20),""))</f>
        <v/>
      </c>
      <c r="E32" s="197" t="str">
        <f>IF($B32="","",IFERROR(_xlfn.XLOOKUP($B32,$B$3:$B$20,$E$3:$E$20),""))</f>
        <v/>
      </c>
      <c r="F32" s="200" t="str">
        <f>IF($B32="","",IFERROR(_xlfn.XLOOKUP($B32,$B$3:$B$20,$F$3:$F$20),""))</f>
        <v/>
      </c>
      <c r="G32" s="200" t="str">
        <f>IF($B32="","",IFERROR(_xlfn.XLOOKUP($B32,$B$3:$B$20,$G$3:$G$20),""))</f>
        <v/>
      </c>
      <c r="H32" s="200" t="str">
        <f>IF($B32="","",IF(OR($B33="",$G32&lt;&gt;$G33),$G32,IF($G32=1,IF($E32&lt;=$E33,1,2),IF($E32&lt;=$E33,MAX(1,$G32-1),$G32))))</f>
        <v/>
      </c>
      <c r="I32" s="185" t="str">
        <f>IF($H32="","","Round "&amp;$H32)</f>
        <v/>
      </c>
      <c r="J32" s="241" t="str">
        <f>IF(OR($B32="",$F32=""),"",$F32-$H32)</f>
        <v/>
      </c>
      <c r="K32" s="6"/>
      <c r="L32" s="6"/>
      <c r="M32" s="6"/>
    </row>
    <row r="33" spans="1:13" x14ac:dyDescent="0.25">
      <c r="A33" s="238" t="str">
        <f>IF($B33="","",IFERROR(_xlfn.XLOOKUP($B33,$B$3:$B$20,$A$3:$A$20),""))</f>
        <v/>
      </c>
      <c r="B33" s="240"/>
      <c r="C33" s="186" t="str">
        <f>IF($B33="","",IFERROR(_xlfn.XLOOKUP($B33,$B$3:$B$20,$C$3:$C$20),""))</f>
        <v/>
      </c>
      <c r="D33" s="187" t="str">
        <f>IF($B33="","",IFERROR(_xlfn.XLOOKUP($B33,$B$3:$B$20,$D$3:$D$20),""))</f>
        <v/>
      </c>
      <c r="E33" s="198" t="str">
        <f>IF($B33="","",IFERROR(_xlfn.XLOOKUP($B33,$B$3:$B$20,$E$3:$E$20),""))</f>
        <v/>
      </c>
      <c r="F33" s="201" t="str">
        <f>IF($B33="","",IFERROR(_xlfn.XLOOKUP($B33,$B$3:$B$20,$F$3:$F$20),""))</f>
        <v/>
      </c>
      <c r="G33" s="201" t="str">
        <f>IF($B33="","",IFERROR(_xlfn.XLOOKUP($B33,$B$3:$B$20,$G$3:$G$20),""))</f>
        <v/>
      </c>
      <c r="H33" s="201" t="str">
        <f>IF($B33="","",IF(OR($B32="",$G33&lt;&gt;$G32),$G33,IF($G33=1,IF($E33&lt;=$E32,1,2),IF($E33&lt;=$E32,MAX(1,$G33-1),$G33))))</f>
        <v/>
      </c>
      <c r="I33" s="187" t="str">
        <f>IF($H33="","","Round "&amp;$H33)</f>
        <v/>
      </c>
      <c r="J33" s="242" t="str">
        <f>IF(OR($B33="",$F33=""),"",$F33-$H33)</f>
        <v/>
      </c>
      <c r="K33" s="6"/>
      <c r="L33" s="6"/>
      <c r="M33" s="6"/>
    </row>
    <row r="34" spans="1:13" ht="15.75" thickBot="1" x14ac:dyDescent="0.3">
      <c r="A34" s="248" t="s">
        <v>681</v>
      </c>
      <c r="B34" s="243"/>
      <c r="C34" s="244"/>
      <c r="D34" s="244"/>
      <c r="E34" s="244"/>
      <c r="F34" s="244"/>
      <c r="G34" s="245" t="str">
        <f>IF(COUNT($G$32:$G$33)=0,"",SUM($G$32:$G$33))</f>
        <v/>
      </c>
      <c r="H34" s="245" t="str">
        <f>IF(COUNT($H$32:$H$33)=0,"",SUM($H$32:$H$33))</f>
        <v/>
      </c>
      <c r="I34" s="246"/>
      <c r="J34" s="247" t="str">
        <f>IF(COUNT($J$32:$J$33)=0,"",SUM($J$32:$J$33))</f>
        <v/>
      </c>
      <c r="K34" s="6"/>
      <c r="L34" s="6"/>
      <c r="M34" s="6"/>
    </row>
    <row r="35" spans="1:13" ht="15.75" thickBot="1" x14ac:dyDescent="0.3">
      <c r="A35" s="6"/>
      <c r="B35" s="6"/>
      <c r="C35" s="6"/>
      <c r="D35" s="6"/>
      <c r="E35" s="6"/>
      <c r="F35" s="6"/>
      <c r="G35" s="6"/>
      <c r="H35" s="6"/>
      <c r="I35" s="6"/>
      <c r="J35" s="6"/>
      <c r="K35" s="6"/>
      <c r="L35" s="6"/>
      <c r="M35" s="6"/>
    </row>
    <row r="36" spans="1:13" ht="20.100000000000001" customHeight="1" x14ac:dyDescent="0.25">
      <c r="A36" s="211" t="s">
        <v>682</v>
      </c>
      <c r="B36" s="210"/>
      <c r="C36" s="210"/>
      <c r="D36" s="210"/>
      <c r="E36" s="210"/>
      <c r="F36" s="210"/>
      <c r="G36" s="210"/>
      <c r="H36" s="210"/>
      <c r="I36" s="210"/>
      <c r="J36" s="215"/>
      <c r="K36" s="6"/>
      <c r="L36" s="6"/>
      <c r="M36" s="6"/>
    </row>
    <row r="37" spans="1:13" ht="30" customHeight="1" x14ac:dyDescent="0.25">
      <c r="A37" s="252" t="s">
        <v>683</v>
      </c>
      <c r="B37" s="249"/>
      <c r="C37" s="249"/>
      <c r="D37" s="249"/>
      <c r="E37" s="249"/>
      <c r="F37" s="249"/>
      <c r="G37" s="249"/>
      <c r="H37" s="249"/>
      <c r="I37" s="249"/>
      <c r="J37" s="255"/>
      <c r="K37" s="6"/>
      <c r="L37" s="6"/>
      <c r="M37" s="6"/>
    </row>
    <row r="38" spans="1:13" ht="30" customHeight="1" x14ac:dyDescent="0.25">
      <c r="A38" s="253" t="s">
        <v>684</v>
      </c>
      <c r="B38" s="250"/>
      <c r="C38" s="250"/>
      <c r="D38" s="250"/>
      <c r="E38" s="250"/>
      <c r="F38" s="250"/>
      <c r="G38" s="250"/>
      <c r="H38" s="250"/>
      <c r="I38" s="250"/>
      <c r="J38" s="256"/>
      <c r="K38" s="6"/>
      <c r="L38" s="6"/>
      <c r="M38" s="6"/>
    </row>
    <row r="39" spans="1:13" ht="30" customHeight="1" x14ac:dyDescent="0.25">
      <c r="A39" s="252" t="s">
        <v>685</v>
      </c>
      <c r="B39" s="249"/>
      <c r="C39" s="249"/>
      <c r="D39" s="249"/>
      <c r="E39" s="249"/>
      <c r="F39" s="249"/>
      <c r="G39" s="249"/>
      <c r="H39" s="249"/>
      <c r="I39" s="249"/>
      <c r="J39" s="255"/>
      <c r="K39" s="6"/>
      <c r="L39" s="6"/>
      <c r="M39" s="6"/>
    </row>
    <row r="40" spans="1:13" ht="15.95" customHeight="1" x14ac:dyDescent="0.25">
      <c r="A40" s="253" t="str" cm="1">
        <f t="array" ref="A40">"Rounds traded away: "&amp;_xlfn.LET(_xlpm.sl,MATCH(TRUE,EXACT('Draft Order-Traded Picks'!$B$2:$K$2,$M$13),0),_xlpm.g,INDEX('Draft Order-Traded Picks'!$B$3:$K$18,_xlfn.SEQUENCE(16),_xlpm.sl),IF(SUMPRODUCT(--(_xlpm.g&lt;&gt;""))=0,"none",_xlfn.TEXTJOIN(", ",TRUE,IF(_xlpm.g&lt;&gt;"","Rd "&amp;_xlfn.SEQUENCE(16),""))))</f>
        <v>Rounds traded away: none</v>
      </c>
      <c r="B40" s="250"/>
      <c r="C40" s="250"/>
      <c r="D40" s="250"/>
      <c r="E40" s="250"/>
      <c r="F40" s="250"/>
      <c r="G40" s="250"/>
      <c r="H40" s="250"/>
      <c r="I40" s="250"/>
      <c r="J40" s="256"/>
      <c r="K40" s="6"/>
      <c r="L40" s="6"/>
      <c r="M40" s="6"/>
    </row>
    <row r="41" spans="1:13" ht="15.95" customHeight="1" x14ac:dyDescent="0.25">
      <c r="A41" s="252" t="str" cm="1">
        <f t="array" ref="A41">"Rounds acquired: "&amp;_xlfn.LET(_xlpm.m,MMULT(--EXACT('Draft Order-Traded Picks'!$B$3:$K$18,$M$12),_xlfn.SEQUENCE(10,1,1,0)),IF(SUM(_xlpm.m)=0,"none",_xlfn.TEXTJOIN(", ",TRUE,IF(_xlpm.m&gt;0,"Rd "&amp;_xlfn.SEQUENCE(16)&amp;IF(_xlpm.m&gt;1," (x"&amp;_xlpm.m&amp;")",""),""))&amp;"  -  "&amp;SUM(_xlpm.m)&amp;" pick(s) total"))</f>
        <v>Rounds acquired: none</v>
      </c>
      <c r="B41" s="249"/>
      <c r="C41" s="249"/>
      <c r="D41" s="249"/>
      <c r="E41" s="249"/>
      <c r="F41" s="249"/>
      <c r="G41" s="249"/>
      <c r="H41" s="249"/>
      <c r="I41" s="249"/>
      <c r="J41" s="255"/>
      <c r="K41" s="6"/>
      <c r="L41" s="6"/>
      <c r="M41" s="6"/>
    </row>
    <row r="42" spans="1:13" ht="30" customHeight="1" thickBot="1" x14ac:dyDescent="0.3">
      <c r="A42" s="254" t="s">
        <v>696</v>
      </c>
      <c r="B42" s="251"/>
      <c r="C42" s="251"/>
      <c r="D42" s="251"/>
      <c r="E42" s="251"/>
      <c r="F42" s="251"/>
      <c r="G42" s="251"/>
      <c r="H42" s="251"/>
      <c r="I42" s="251"/>
      <c r="J42" s="257"/>
      <c r="K42" s="6"/>
      <c r="L42" s="6"/>
      <c r="M42" s="6"/>
    </row>
  </sheetData>
  <mergeCells count="11">
    <mergeCell ref="A37:J37"/>
    <mergeCell ref="A38:J38"/>
    <mergeCell ref="A39:J39"/>
    <mergeCell ref="A40:J40"/>
    <mergeCell ref="A41:J41"/>
    <mergeCell ref="A42:J42"/>
    <mergeCell ref="A1:J1"/>
    <mergeCell ref="L2:M2"/>
    <mergeCell ref="A21:B21"/>
    <mergeCell ref="A30:J30"/>
    <mergeCell ref="A36:J36"/>
  </mergeCells>
  <conditionalFormatting sqref="A3:J20">
    <cfRule type="expression" dxfId="158" priority="1">
      <formula>AND($B3&lt;&gt;"",MOD(ROW(),2)=0)</formula>
    </cfRule>
  </conditionalFormatting>
  <conditionalFormatting sqref="C3:C20">
    <cfRule type="containsText" dxfId="157" priority="2" operator="containsText" text="QB">
      <formula>NOT(ISERROR(SEARCH("QB",C3)))</formula>
    </cfRule>
  </conditionalFormatting>
  <conditionalFormatting sqref="C3:C20">
    <cfRule type="containsText" dxfId="156" priority="3" operator="containsText" text="RB">
      <formula>NOT(ISERROR(SEARCH("RB",C3)))</formula>
    </cfRule>
  </conditionalFormatting>
  <conditionalFormatting sqref="C3:C20">
    <cfRule type="containsText" dxfId="155" priority="4" operator="containsText" text="WR">
      <formula>NOT(ISERROR(SEARCH("WR",C3)))</formula>
    </cfRule>
  </conditionalFormatting>
  <conditionalFormatting sqref="C3:C20">
    <cfRule type="containsText" dxfId="154" priority="5" operator="containsText" text="TE">
      <formula>NOT(ISERROR(SEARCH("TE",C3)))</formula>
    </cfRule>
  </conditionalFormatting>
  <conditionalFormatting sqref="C3:C20">
    <cfRule type="containsText" dxfId="153" priority="6" operator="containsText" text="K">
      <formula>NOT(ISERROR(SEARCH("K",C3)))</formula>
    </cfRule>
  </conditionalFormatting>
  <conditionalFormatting sqref="C3:C20">
    <cfRule type="containsText" dxfId="152" priority="7" operator="containsText" text="DEF">
      <formula>NOT(ISERROR(SEARCH("DEF",C3)))</formula>
    </cfRule>
  </conditionalFormatting>
  <conditionalFormatting sqref="C32:C33">
    <cfRule type="containsText" dxfId="151" priority="8" operator="containsText" text="QB">
      <formula>NOT(ISERROR(SEARCH("QB",C32)))</formula>
    </cfRule>
  </conditionalFormatting>
  <conditionalFormatting sqref="C32:C33">
    <cfRule type="containsText" dxfId="150" priority="9" operator="containsText" text="RB">
      <formula>NOT(ISERROR(SEARCH("RB",C32)))</formula>
    </cfRule>
  </conditionalFormatting>
  <conditionalFormatting sqref="C32:C33">
    <cfRule type="containsText" dxfId="149" priority="10" operator="containsText" text="WR">
      <formula>NOT(ISERROR(SEARCH("WR",C32)))</formula>
    </cfRule>
  </conditionalFormatting>
  <conditionalFormatting sqref="C32:C33">
    <cfRule type="containsText" dxfId="148" priority="11" operator="containsText" text="TE">
      <formula>NOT(ISERROR(SEARCH("TE",C32)))</formula>
    </cfRule>
  </conditionalFormatting>
  <conditionalFormatting sqref="C32:C33">
    <cfRule type="containsText" dxfId="147" priority="12" operator="containsText" text="K">
      <formula>NOT(ISERROR(SEARCH("K",C32)))</formula>
    </cfRule>
  </conditionalFormatting>
  <conditionalFormatting sqref="C32:C33">
    <cfRule type="containsText" dxfId="146" priority="13" operator="containsText" text="DEF">
      <formula>NOT(ISERROR(SEARCH("DEF",C32)))</formula>
    </cfRule>
  </conditionalFormatting>
  <conditionalFormatting sqref="I3:I20">
    <cfRule type="expression" dxfId="145" priority="14">
      <formula>$I3&lt;&gt;""</formula>
    </cfRule>
  </conditionalFormatting>
  <conditionalFormatting sqref="J3:J20">
    <cfRule type="expression" dxfId="144" priority="15">
      <formula>ISNUMBER(SEARCH("Waiver",$J3))</formula>
    </cfRule>
  </conditionalFormatting>
  <conditionalFormatting sqref="H32:H33">
    <cfRule type="expression" dxfId="143" priority="20">
      <formula>AND($B32&lt;&gt;"",$H32&lt;&gt;$G32)</formula>
    </cfRule>
  </conditionalFormatting>
  <conditionalFormatting sqref="B32:B33">
    <cfRule type="expression" dxfId="142" priority="21">
      <formula>AND($B32&lt;&gt;"",COUNTIF($B$32:$B$33,$B32)&gt;1)</formula>
    </cfRule>
  </conditionalFormatting>
  <conditionalFormatting sqref="H3:H20">
    <cfRule type="expression" dxfId="27" priority="22">
      <formula>AND(ISNUMBER($H3),$H3&gt;0)</formula>
    </cfRule>
  </conditionalFormatting>
  <conditionalFormatting sqref="H3:H20">
    <cfRule type="expression" dxfId="26" priority="23">
      <formula>AND(ISNUMBER($H3),$H3&lt;0)</formula>
    </cfRule>
  </conditionalFormatting>
  <conditionalFormatting sqref="J32:J34">
    <cfRule type="expression" dxfId="25" priority="24">
      <formula>AND(ISNUMBER($J32),$J32&gt;0)</formula>
    </cfRule>
  </conditionalFormatting>
  <conditionalFormatting sqref="J32:J34">
    <cfRule type="expression" dxfId="24" priority="25">
      <formula>AND(ISNUMBER($J32),$J32&lt;0)</formula>
    </cfRule>
  </conditionalFormatting>
  <dataValidations count="1">
    <dataValidation type="list" allowBlank="1" showInputMessage="1" showErrorMessage="1" errorTitle="Not on this roster" error="Pick a player from this team's roster list above." promptTitle="Keeper selection" prompt="Choose one of this team's players. Keeper cost and value update automatically." sqref="B32:B33" xr:uid="{35069761-332E-4D01-A101-A9DE66CF41EB}">
      <formula1>$B$3:$B$20</formula1>
    </dataValidation>
  </dataValidations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5ED2377-0743-47A3-9667-5329827A63A7}">
  <sheetPr>
    <tabColor rgb="FF1F4E79"/>
  </sheetPr>
  <dimension ref="A1:M42"/>
  <sheetViews>
    <sheetView workbookViewId="0">
      <pane ySplit="2" topLeftCell="A3" activePane="bottomLeft" state="frozen"/>
      <selection pane="bottomLeft" sqref="A1:J1"/>
    </sheetView>
  </sheetViews>
  <sheetFormatPr defaultRowHeight="15" x14ac:dyDescent="0.25"/>
  <cols>
    <col min="1" max="1" width="21.5703125" customWidth="1"/>
    <col min="2" max="2" width="41.85546875" customWidth="1"/>
    <col min="3" max="3" width="12.7109375" customWidth="1"/>
    <col min="4" max="4" width="29.140625" customWidth="1"/>
    <col min="5" max="5" width="25.28515625" customWidth="1"/>
    <col min="6" max="6" width="21.5703125" customWidth="1"/>
    <col min="7" max="7" width="25.28515625" customWidth="1"/>
    <col min="8" max="8" width="20.42578125" customWidth="1"/>
    <col min="9" max="9" width="24.140625" customWidth="1"/>
    <col min="10" max="10" width="35.5703125" customWidth="1"/>
    <col min="11" max="11" width="4.5703125" customWidth="1"/>
    <col min="12" max="12" width="38.140625" customWidth="1"/>
    <col min="13" max="13" width="33" customWidth="1"/>
  </cols>
  <sheetData>
    <row r="1" spans="1:13" ht="30" customHeight="1" thickBot="1" x14ac:dyDescent="0.3">
      <c r="A1" s="183" t="s">
        <v>689</v>
      </c>
      <c r="B1" s="183"/>
      <c r="C1" s="183"/>
      <c r="D1" s="183"/>
      <c r="E1" s="183"/>
      <c r="F1" s="183"/>
      <c r="G1" s="183"/>
      <c r="H1" s="183"/>
      <c r="I1" s="183"/>
      <c r="J1" s="183"/>
      <c r="K1" s="6"/>
      <c r="L1" s="6"/>
      <c r="M1" s="6"/>
    </row>
    <row r="2" spans="1:13" ht="42" customHeight="1" x14ac:dyDescent="0.25">
      <c r="A2" s="191" t="s">
        <v>622</v>
      </c>
      <c r="B2" s="189" t="s">
        <v>354</v>
      </c>
      <c r="C2" s="189" t="s">
        <v>186</v>
      </c>
      <c r="D2" s="189" t="s">
        <v>545</v>
      </c>
      <c r="E2" s="189" t="s">
        <v>623</v>
      </c>
      <c r="F2" s="189" t="s">
        <v>624</v>
      </c>
      <c r="G2" s="189" t="s">
        <v>625</v>
      </c>
      <c r="H2" s="189" t="s">
        <v>626</v>
      </c>
      <c r="I2" s="189" t="s">
        <v>627</v>
      </c>
      <c r="J2" s="192" t="s">
        <v>628</v>
      </c>
      <c r="K2" s="6"/>
      <c r="L2" s="211" t="s">
        <v>661</v>
      </c>
      <c r="M2" s="215"/>
    </row>
    <row r="3" spans="1:13" x14ac:dyDescent="0.25">
      <c r="A3" s="193" t="s">
        <v>649</v>
      </c>
      <c r="B3" s="195" t="s">
        <v>154</v>
      </c>
      <c r="C3" s="185" t="s">
        <v>575</v>
      </c>
      <c r="D3" s="185" t="s">
        <v>564</v>
      </c>
      <c r="E3" s="197">
        <v>38.200000000000003</v>
      </c>
      <c r="F3" s="200">
        <v>4</v>
      </c>
      <c r="G3" s="200">
        <v>9</v>
      </c>
      <c r="H3" s="203">
        <v>5</v>
      </c>
      <c r="I3" s="185"/>
      <c r="J3" s="206" t="s">
        <v>634</v>
      </c>
      <c r="K3" s="6"/>
      <c r="L3" s="212" t="s">
        <v>662</v>
      </c>
      <c r="M3" s="216">
        <v>17</v>
      </c>
    </row>
    <row r="4" spans="1:13" x14ac:dyDescent="0.25">
      <c r="A4" s="194" t="s">
        <v>630</v>
      </c>
      <c r="B4" s="196" t="s">
        <v>153</v>
      </c>
      <c r="C4" s="187" t="s">
        <v>575</v>
      </c>
      <c r="D4" s="187" t="s">
        <v>581</v>
      </c>
      <c r="E4" s="198">
        <v>106.1</v>
      </c>
      <c r="F4" s="201">
        <v>11</v>
      </c>
      <c r="G4" s="201">
        <v>8</v>
      </c>
      <c r="H4" s="204">
        <v>-3</v>
      </c>
      <c r="I4" s="187"/>
      <c r="J4" s="207" t="s">
        <v>631</v>
      </c>
      <c r="K4" s="6"/>
      <c r="L4" s="213" t="s">
        <v>663</v>
      </c>
      <c r="M4" s="217">
        <v>2</v>
      </c>
    </row>
    <row r="5" spans="1:13" x14ac:dyDescent="0.25">
      <c r="A5" s="194" t="s">
        <v>635</v>
      </c>
      <c r="B5" s="196" t="s">
        <v>218</v>
      </c>
      <c r="C5" s="187" t="s">
        <v>187</v>
      </c>
      <c r="D5" s="187" t="s">
        <v>560</v>
      </c>
      <c r="E5" s="198">
        <v>13.1</v>
      </c>
      <c r="F5" s="201">
        <v>2</v>
      </c>
      <c r="G5" s="201">
        <v>3</v>
      </c>
      <c r="H5" s="204">
        <v>1</v>
      </c>
      <c r="I5" s="187"/>
      <c r="J5" s="207" t="s">
        <v>634</v>
      </c>
      <c r="K5" s="6"/>
      <c r="L5" s="212" t="s">
        <v>664</v>
      </c>
      <c r="M5" s="218">
        <v>68.0230769230769</v>
      </c>
    </row>
    <row r="6" spans="1:13" x14ac:dyDescent="0.25">
      <c r="A6" s="194" t="s">
        <v>632</v>
      </c>
      <c r="B6" s="196" t="s">
        <v>11</v>
      </c>
      <c r="C6" s="187" t="s">
        <v>187</v>
      </c>
      <c r="D6" s="187" t="s">
        <v>563</v>
      </c>
      <c r="E6" s="198">
        <v>17.100000000000001</v>
      </c>
      <c r="F6" s="201">
        <v>2</v>
      </c>
      <c r="G6" s="201">
        <v>1</v>
      </c>
      <c r="H6" s="204">
        <v>-1</v>
      </c>
      <c r="I6" s="187"/>
      <c r="J6" s="207" t="s">
        <v>634</v>
      </c>
      <c r="K6" s="6"/>
      <c r="L6" s="213" t="s">
        <v>665</v>
      </c>
      <c r="M6" s="219">
        <v>5</v>
      </c>
    </row>
    <row r="7" spans="1:13" x14ac:dyDescent="0.25">
      <c r="A7" s="194" t="s">
        <v>642</v>
      </c>
      <c r="B7" s="196" t="s">
        <v>25</v>
      </c>
      <c r="C7" s="187" t="s">
        <v>187</v>
      </c>
      <c r="D7" s="187" t="s">
        <v>585</v>
      </c>
      <c r="E7" s="198">
        <v>67.3</v>
      </c>
      <c r="F7" s="201">
        <v>7</v>
      </c>
      <c r="G7" s="201">
        <v>5</v>
      </c>
      <c r="H7" s="204">
        <v>-2</v>
      </c>
      <c r="I7" s="187"/>
      <c r="J7" s="207" t="s">
        <v>634</v>
      </c>
      <c r="K7" s="6"/>
      <c r="L7" s="212" t="s">
        <v>666</v>
      </c>
      <c r="M7" s="216" t="s">
        <v>154</v>
      </c>
    </row>
    <row r="8" spans="1:13" x14ac:dyDescent="0.25">
      <c r="A8" s="194" t="s">
        <v>636</v>
      </c>
      <c r="B8" s="196" t="s">
        <v>219</v>
      </c>
      <c r="C8" s="187" t="s">
        <v>187</v>
      </c>
      <c r="D8" s="187" t="s">
        <v>559</v>
      </c>
      <c r="E8" s="198">
        <v>123.6</v>
      </c>
      <c r="F8" s="201">
        <v>13</v>
      </c>
      <c r="G8" s="201">
        <v>8</v>
      </c>
      <c r="H8" s="204">
        <v>-5</v>
      </c>
      <c r="I8" s="187"/>
      <c r="J8" s="207" t="s">
        <v>634</v>
      </c>
      <c r="K8" s="6"/>
      <c r="L8" s="213" t="s">
        <v>667</v>
      </c>
      <c r="M8" s="217">
        <v>4</v>
      </c>
    </row>
    <row r="9" spans="1:13" ht="15.75" thickBot="1" x14ac:dyDescent="0.3">
      <c r="A9" s="194" t="s">
        <v>643</v>
      </c>
      <c r="B9" s="196" t="s">
        <v>123</v>
      </c>
      <c r="C9" s="187" t="s">
        <v>191</v>
      </c>
      <c r="D9" s="187" t="s">
        <v>564</v>
      </c>
      <c r="E9" s="198">
        <v>17.5</v>
      </c>
      <c r="F9" s="201">
        <v>2</v>
      </c>
      <c r="G9" s="201">
        <v>2</v>
      </c>
      <c r="H9" s="204">
        <v>0</v>
      </c>
      <c r="I9" s="187"/>
      <c r="J9" s="207" t="s">
        <v>634</v>
      </c>
      <c r="K9" s="6"/>
      <c r="L9" s="214" t="s">
        <v>668</v>
      </c>
      <c r="M9" s="220">
        <v>4</v>
      </c>
    </row>
    <row r="10" spans="1:13" x14ac:dyDescent="0.25">
      <c r="A10" s="194" t="s">
        <v>646</v>
      </c>
      <c r="B10" s="196" t="s">
        <v>109</v>
      </c>
      <c r="C10" s="187" t="s">
        <v>191</v>
      </c>
      <c r="D10" s="187" t="s">
        <v>563</v>
      </c>
      <c r="E10" s="198">
        <v>24.9</v>
      </c>
      <c r="F10" s="201">
        <v>3</v>
      </c>
      <c r="G10" s="201">
        <v>4</v>
      </c>
      <c r="H10" s="204">
        <v>1</v>
      </c>
      <c r="I10" s="187"/>
      <c r="J10" s="207" t="s">
        <v>634</v>
      </c>
      <c r="K10" s="6"/>
      <c r="L10" s="6"/>
      <c r="M10" s="6"/>
    </row>
    <row r="11" spans="1:13" x14ac:dyDescent="0.25">
      <c r="A11" s="194" t="s">
        <v>650</v>
      </c>
      <c r="B11" s="196" t="s">
        <v>84</v>
      </c>
      <c r="C11" s="187" t="s">
        <v>191</v>
      </c>
      <c r="D11" s="187" t="s">
        <v>551</v>
      </c>
      <c r="E11" s="198">
        <v>44</v>
      </c>
      <c r="F11" s="201">
        <v>5</v>
      </c>
      <c r="G11" s="201">
        <v>9</v>
      </c>
      <c r="H11" s="204">
        <v>4</v>
      </c>
      <c r="I11" s="187" t="s">
        <v>633</v>
      </c>
      <c r="J11" s="207" t="s">
        <v>634</v>
      </c>
      <c r="K11" s="6"/>
      <c r="L11" s="221" t="s">
        <v>669</v>
      </c>
      <c r="M11" s="221" t="s">
        <v>648</v>
      </c>
    </row>
    <row r="12" spans="1:13" x14ac:dyDescent="0.25">
      <c r="A12" s="194" t="s">
        <v>645</v>
      </c>
      <c r="B12" s="196" t="s">
        <v>112</v>
      </c>
      <c r="C12" s="187" t="s">
        <v>191</v>
      </c>
      <c r="D12" s="187" t="s">
        <v>556</v>
      </c>
      <c r="E12" s="198">
        <v>84.3</v>
      </c>
      <c r="F12" s="201">
        <v>9</v>
      </c>
      <c r="G12" s="201">
        <v>11</v>
      </c>
      <c r="H12" s="204">
        <v>2</v>
      </c>
      <c r="I12" s="187"/>
      <c r="J12" s="207" t="s">
        <v>634</v>
      </c>
      <c r="K12" s="6"/>
      <c r="L12" s="221" t="s">
        <v>670</v>
      </c>
      <c r="M12" s="221" t="s">
        <v>356</v>
      </c>
    </row>
    <row r="13" spans="1:13" ht="23.25" x14ac:dyDescent="0.25">
      <c r="A13" s="194" t="s">
        <v>637</v>
      </c>
      <c r="B13" s="196" t="s">
        <v>107</v>
      </c>
      <c r="C13" s="187" t="s">
        <v>191</v>
      </c>
      <c r="D13" s="187" t="s">
        <v>559</v>
      </c>
      <c r="E13" s="198">
        <v>100.5</v>
      </c>
      <c r="F13" s="201">
        <v>11</v>
      </c>
      <c r="G13" s="201">
        <v>5</v>
      </c>
      <c r="H13" s="204">
        <v>-6</v>
      </c>
      <c r="I13" s="187" t="s">
        <v>633</v>
      </c>
      <c r="J13" s="207" t="s">
        <v>634</v>
      </c>
      <c r="K13" s="6"/>
      <c r="L13" s="221" t="s">
        <v>671</v>
      </c>
      <c r="M13" s="222" t="s">
        <v>71</v>
      </c>
    </row>
    <row r="14" spans="1:13" x14ac:dyDescent="0.25">
      <c r="A14" s="194" t="s">
        <v>630</v>
      </c>
      <c r="B14" s="196" t="s">
        <v>372</v>
      </c>
      <c r="C14" s="187" t="s">
        <v>191</v>
      </c>
      <c r="D14" s="187" t="s">
        <v>564</v>
      </c>
      <c r="E14" s="198"/>
      <c r="F14" s="201"/>
      <c r="G14" s="201">
        <v>8</v>
      </c>
      <c r="H14" s="204"/>
      <c r="I14" s="187"/>
      <c r="J14" s="207" t="s">
        <v>631</v>
      </c>
      <c r="K14" s="6"/>
      <c r="L14" s="6"/>
      <c r="M14" s="6"/>
    </row>
    <row r="15" spans="1:13" x14ac:dyDescent="0.25">
      <c r="A15" s="194" t="s">
        <v>639</v>
      </c>
      <c r="B15" s="196" t="s">
        <v>151</v>
      </c>
      <c r="C15" s="187" t="s">
        <v>576</v>
      </c>
      <c r="D15" s="187" t="s">
        <v>574</v>
      </c>
      <c r="E15" s="198">
        <v>104</v>
      </c>
      <c r="F15" s="201">
        <v>11</v>
      </c>
      <c r="G15" s="201">
        <v>7</v>
      </c>
      <c r="H15" s="204">
        <v>-4</v>
      </c>
      <c r="I15" s="187"/>
      <c r="J15" s="207" t="s">
        <v>634</v>
      </c>
      <c r="K15" s="6"/>
      <c r="L15" s="6"/>
      <c r="M15" s="6"/>
    </row>
    <row r="16" spans="1:13" x14ac:dyDescent="0.25">
      <c r="A16" s="194" t="s">
        <v>630</v>
      </c>
      <c r="B16" s="196" t="s">
        <v>113</v>
      </c>
      <c r="C16" s="187" t="s">
        <v>576</v>
      </c>
      <c r="D16" s="187" t="s">
        <v>578</v>
      </c>
      <c r="E16" s="198"/>
      <c r="F16" s="201"/>
      <c r="G16" s="201">
        <v>8</v>
      </c>
      <c r="H16" s="204"/>
      <c r="I16" s="187"/>
      <c r="J16" s="207" t="s">
        <v>631</v>
      </c>
      <c r="K16" s="6"/>
      <c r="L16" s="6"/>
      <c r="M16" s="6"/>
    </row>
    <row r="17" spans="1:13" x14ac:dyDescent="0.25">
      <c r="A17" s="194" t="s">
        <v>638</v>
      </c>
      <c r="B17" s="196" t="s">
        <v>220</v>
      </c>
      <c r="C17" s="187" t="s">
        <v>576</v>
      </c>
      <c r="D17" s="187" t="s">
        <v>564</v>
      </c>
      <c r="E17" s="198"/>
      <c r="F17" s="201"/>
      <c r="G17" s="201">
        <v>12</v>
      </c>
      <c r="H17" s="204"/>
      <c r="I17" s="187"/>
      <c r="J17" s="207" t="s">
        <v>634</v>
      </c>
      <c r="K17" s="6"/>
      <c r="L17" s="6"/>
      <c r="M17" s="6"/>
    </row>
    <row r="18" spans="1:13" x14ac:dyDescent="0.25">
      <c r="A18" s="194" t="s">
        <v>641</v>
      </c>
      <c r="B18" s="196" t="s">
        <v>134</v>
      </c>
      <c r="C18" s="187" t="s">
        <v>673</v>
      </c>
      <c r="D18" s="187" t="s">
        <v>566</v>
      </c>
      <c r="E18" s="198">
        <v>143.69999999999999</v>
      </c>
      <c r="F18" s="201">
        <v>15</v>
      </c>
      <c r="G18" s="201">
        <v>14</v>
      </c>
      <c r="H18" s="204">
        <v>-1</v>
      </c>
      <c r="I18" s="187"/>
      <c r="J18" s="207" t="s">
        <v>634</v>
      </c>
      <c r="K18" s="6"/>
      <c r="L18" s="6"/>
      <c r="M18" s="6"/>
    </row>
    <row r="19" spans="1:13" x14ac:dyDescent="0.25">
      <c r="A19" s="194" t="s">
        <v>630</v>
      </c>
      <c r="B19" s="196" t="s">
        <v>373</v>
      </c>
      <c r="C19" s="187" t="s">
        <v>589</v>
      </c>
      <c r="D19" s="187" t="s">
        <v>578</v>
      </c>
      <c r="E19" s="198"/>
      <c r="F19" s="201"/>
      <c r="G19" s="201">
        <v>8</v>
      </c>
      <c r="H19" s="204"/>
      <c r="I19" s="187"/>
      <c r="J19" s="207" t="s">
        <v>631</v>
      </c>
      <c r="K19" s="6"/>
      <c r="L19" s="6"/>
      <c r="M19" s="6"/>
    </row>
    <row r="20" spans="1:13" ht="15.75" thickBot="1" x14ac:dyDescent="0.3">
      <c r="A20" s="223"/>
      <c r="B20" s="224"/>
      <c r="C20" s="190"/>
      <c r="D20" s="188"/>
      <c r="E20" s="233"/>
      <c r="F20" s="202"/>
      <c r="G20" s="202"/>
      <c r="H20" s="205"/>
      <c r="I20" s="190"/>
      <c r="J20" s="208"/>
      <c r="K20" s="6"/>
      <c r="L20" s="6"/>
      <c r="M20" s="6"/>
    </row>
    <row r="21" spans="1:13" ht="20.100000000000001" customHeight="1" x14ac:dyDescent="0.25">
      <c r="A21" s="211" t="s">
        <v>672</v>
      </c>
      <c r="B21" s="215"/>
      <c r="C21" s="6"/>
      <c r="H21" s="6"/>
      <c r="I21" s="6"/>
      <c r="J21" s="6"/>
      <c r="K21" s="6"/>
      <c r="L21" s="6"/>
      <c r="M21" s="6"/>
    </row>
    <row r="22" spans="1:13" x14ac:dyDescent="0.25">
      <c r="A22" s="225" t="s">
        <v>575</v>
      </c>
      <c r="B22" s="216">
        <v>2</v>
      </c>
      <c r="C22" s="6"/>
      <c r="H22" s="6"/>
      <c r="I22" s="6"/>
      <c r="J22" s="6"/>
      <c r="K22" s="6"/>
      <c r="L22" s="6"/>
      <c r="M22" s="6"/>
    </row>
    <row r="23" spans="1:13" x14ac:dyDescent="0.25">
      <c r="A23" s="226" t="s">
        <v>187</v>
      </c>
      <c r="B23" s="217">
        <v>4</v>
      </c>
      <c r="C23" s="6"/>
      <c r="H23" s="6"/>
      <c r="I23" s="6"/>
      <c r="J23" s="6"/>
      <c r="K23" s="6"/>
      <c r="L23" s="6"/>
      <c r="M23" s="6"/>
    </row>
    <row r="24" spans="1:13" x14ac:dyDescent="0.25">
      <c r="A24" s="227" t="s">
        <v>191</v>
      </c>
      <c r="B24" s="216">
        <v>6</v>
      </c>
      <c r="C24" s="6"/>
      <c r="H24" s="6"/>
      <c r="I24" s="6"/>
      <c r="J24" s="6"/>
      <c r="K24" s="6"/>
      <c r="L24" s="6"/>
      <c r="M24" s="6"/>
    </row>
    <row r="25" spans="1:13" x14ac:dyDescent="0.25">
      <c r="A25" s="228" t="s">
        <v>576</v>
      </c>
      <c r="B25" s="217">
        <v>3</v>
      </c>
      <c r="C25" s="6"/>
      <c r="H25" s="6"/>
      <c r="I25" s="6"/>
      <c r="J25" s="6"/>
      <c r="K25" s="6"/>
      <c r="L25" s="6"/>
      <c r="M25" s="6"/>
    </row>
    <row r="26" spans="1:13" x14ac:dyDescent="0.25">
      <c r="A26" s="229" t="s">
        <v>673</v>
      </c>
      <c r="B26" s="216">
        <v>1</v>
      </c>
      <c r="C26" s="6"/>
      <c r="H26" s="6"/>
      <c r="I26" s="6"/>
      <c r="J26" s="6"/>
      <c r="K26" s="6"/>
      <c r="L26" s="6"/>
      <c r="M26" s="6"/>
    </row>
    <row r="27" spans="1:13" x14ac:dyDescent="0.25">
      <c r="A27" s="230" t="s">
        <v>589</v>
      </c>
      <c r="B27" s="217">
        <v>1</v>
      </c>
      <c r="C27" s="6"/>
      <c r="H27" s="6"/>
      <c r="I27" s="6"/>
      <c r="J27" s="6"/>
      <c r="K27" s="6"/>
      <c r="L27" s="6"/>
      <c r="M27" s="6"/>
    </row>
    <row r="28" spans="1:13" ht="15.75" thickBot="1" x14ac:dyDescent="0.3">
      <c r="A28" s="231" t="s">
        <v>674</v>
      </c>
      <c r="B28" s="232">
        <f>SUM(B22:B27)</f>
        <v>17</v>
      </c>
      <c r="C28" s="6"/>
      <c r="H28" s="6"/>
      <c r="I28" s="6"/>
      <c r="J28" s="6"/>
      <c r="K28" s="6"/>
      <c r="L28" s="6"/>
      <c r="M28" s="6"/>
    </row>
    <row r="29" spans="1:13" x14ac:dyDescent="0.25">
      <c r="A29" s="6"/>
      <c r="B29" s="6"/>
      <c r="C29" s="6"/>
      <c r="D29" s="6"/>
      <c r="E29" s="6"/>
      <c r="F29" s="6"/>
      <c r="G29" s="6"/>
      <c r="H29" s="6"/>
      <c r="I29" s="6"/>
      <c r="J29" s="6"/>
      <c r="K29" s="6"/>
      <c r="L29" s="6"/>
      <c r="M29" s="6"/>
    </row>
    <row r="30" spans="1:13" ht="20.100000000000001" customHeight="1" thickBot="1" x14ac:dyDescent="0.3">
      <c r="A30" s="209" t="s">
        <v>675</v>
      </c>
      <c r="B30" s="209"/>
      <c r="C30" s="209"/>
      <c r="D30" s="209"/>
      <c r="E30" s="209"/>
      <c r="F30" s="209"/>
      <c r="G30" s="209"/>
      <c r="H30" s="209"/>
      <c r="I30" s="209"/>
      <c r="J30" s="209"/>
      <c r="K30" s="6"/>
      <c r="L30" s="6"/>
      <c r="M30" s="6"/>
    </row>
    <row r="31" spans="1:13" ht="30" customHeight="1" x14ac:dyDescent="0.25">
      <c r="A31" s="235" t="s">
        <v>622</v>
      </c>
      <c r="B31" s="234" t="s">
        <v>676</v>
      </c>
      <c r="C31" s="234" t="s">
        <v>186</v>
      </c>
      <c r="D31" s="234" t="s">
        <v>545</v>
      </c>
      <c r="E31" s="234" t="s">
        <v>547</v>
      </c>
      <c r="F31" s="234" t="s">
        <v>677</v>
      </c>
      <c r="G31" s="234" t="s">
        <v>678</v>
      </c>
      <c r="H31" s="234" t="s">
        <v>679</v>
      </c>
      <c r="I31" s="234" t="s">
        <v>680</v>
      </c>
      <c r="J31" s="236" t="s">
        <v>626</v>
      </c>
      <c r="K31" s="6"/>
      <c r="L31" s="6"/>
      <c r="M31" s="6"/>
    </row>
    <row r="32" spans="1:13" x14ac:dyDescent="0.25">
      <c r="A32" s="237" t="str">
        <f>IF($B32="","",IFERROR(_xlfn.XLOOKUP($B32,$B$3:$B$20,$A$3:$A$20),""))</f>
        <v/>
      </c>
      <c r="B32" s="239"/>
      <c r="C32" s="184" t="str">
        <f>IF($B32="","",IFERROR(_xlfn.XLOOKUP($B32,$B$3:$B$20,$C$3:$C$20),""))</f>
        <v/>
      </c>
      <c r="D32" s="185" t="str">
        <f>IF($B32="","",IFERROR(_xlfn.XLOOKUP($B32,$B$3:$B$20,$D$3:$D$20),""))</f>
        <v/>
      </c>
      <c r="E32" s="197" t="str">
        <f>IF($B32="","",IFERROR(_xlfn.XLOOKUP($B32,$B$3:$B$20,$E$3:$E$20),""))</f>
        <v/>
      </c>
      <c r="F32" s="200" t="str">
        <f>IF($B32="","",IFERROR(_xlfn.XLOOKUP($B32,$B$3:$B$20,$F$3:$F$20),""))</f>
        <v/>
      </c>
      <c r="G32" s="200" t="str">
        <f>IF($B32="","",IFERROR(_xlfn.XLOOKUP($B32,$B$3:$B$20,$G$3:$G$20),""))</f>
        <v/>
      </c>
      <c r="H32" s="200" t="str">
        <f>IF($B32="","",IF(OR($B33="",$G32&lt;&gt;$G33),$G32,IF($G32=1,IF($E32&lt;=$E33,1,2),IF($E32&lt;=$E33,MAX(1,$G32-1),$G32))))</f>
        <v/>
      </c>
      <c r="I32" s="185" t="str">
        <f>IF($H32="","","Round "&amp;$H32)</f>
        <v/>
      </c>
      <c r="J32" s="241" t="str">
        <f>IF(OR($B32="",$F32=""),"",$F32-$H32)</f>
        <v/>
      </c>
      <c r="K32" s="6"/>
      <c r="L32" s="6"/>
      <c r="M32" s="6"/>
    </row>
    <row r="33" spans="1:13" x14ac:dyDescent="0.25">
      <c r="A33" s="238" t="str">
        <f>IF($B33="","",IFERROR(_xlfn.XLOOKUP($B33,$B$3:$B$20,$A$3:$A$20),""))</f>
        <v/>
      </c>
      <c r="B33" s="240"/>
      <c r="C33" s="186" t="str">
        <f>IF($B33="","",IFERROR(_xlfn.XLOOKUP($B33,$B$3:$B$20,$C$3:$C$20),""))</f>
        <v/>
      </c>
      <c r="D33" s="187" t="str">
        <f>IF($B33="","",IFERROR(_xlfn.XLOOKUP($B33,$B$3:$B$20,$D$3:$D$20),""))</f>
        <v/>
      </c>
      <c r="E33" s="198" t="str">
        <f>IF($B33="","",IFERROR(_xlfn.XLOOKUP($B33,$B$3:$B$20,$E$3:$E$20),""))</f>
        <v/>
      </c>
      <c r="F33" s="201" t="str">
        <f>IF($B33="","",IFERROR(_xlfn.XLOOKUP($B33,$B$3:$B$20,$F$3:$F$20),""))</f>
        <v/>
      </c>
      <c r="G33" s="201" t="str">
        <f>IF($B33="","",IFERROR(_xlfn.XLOOKUP($B33,$B$3:$B$20,$G$3:$G$20),""))</f>
        <v/>
      </c>
      <c r="H33" s="201" t="str">
        <f>IF($B33="","",IF(OR($B32="",$G33&lt;&gt;$G32),$G33,IF($G33=1,IF($E33&lt;=$E32,1,2),IF($E33&lt;=$E32,MAX(1,$G33-1),$G33))))</f>
        <v/>
      </c>
      <c r="I33" s="187" t="str">
        <f>IF($H33="","","Round "&amp;$H33)</f>
        <v/>
      </c>
      <c r="J33" s="242" t="str">
        <f>IF(OR($B33="",$F33=""),"",$F33-$H33)</f>
        <v/>
      </c>
      <c r="K33" s="6"/>
      <c r="L33" s="6"/>
      <c r="M33" s="6"/>
    </row>
    <row r="34" spans="1:13" ht="15.75" thickBot="1" x14ac:dyDescent="0.3">
      <c r="A34" s="248" t="s">
        <v>681</v>
      </c>
      <c r="B34" s="243"/>
      <c r="C34" s="244"/>
      <c r="D34" s="244"/>
      <c r="E34" s="244"/>
      <c r="F34" s="244"/>
      <c r="G34" s="245" t="str">
        <f>IF(COUNT($G$32:$G$33)=0,"",SUM($G$32:$G$33))</f>
        <v/>
      </c>
      <c r="H34" s="245" t="str">
        <f>IF(COUNT($H$32:$H$33)=0,"",SUM($H$32:$H$33))</f>
        <v/>
      </c>
      <c r="I34" s="246"/>
      <c r="J34" s="247" t="str">
        <f>IF(COUNT($J$32:$J$33)=0,"",SUM($J$32:$J$33))</f>
        <v/>
      </c>
      <c r="K34" s="6"/>
      <c r="L34" s="6"/>
      <c r="M34" s="6"/>
    </row>
    <row r="35" spans="1:13" ht="15.75" thickBot="1" x14ac:dyDescent="0.3">
      <c r="A35" s="6"/>
      <c r="B35" s="6"/>
      <c r="C35" s="6"/>
      <c r="D35" s="6"/>
      <c r="E35" s="6"/>
      <c r="F35" s="6"/>
      <c r="G35" s="6"/>
      <c r="H35" s="6"/>
      <c r="I35" s="6"/>
      <c r="J35" s="6"/>
      <c r="K35" s="6"/>
      <c r="L35" s="6"/>
      <c r="M35" s="6"/>
    </row>
    <row r="36" spans="1:13" ht="20.100000000000001" customHeight="1" x14ac:dyDescent="0.25">
      <c r="A36" s="211" t="s">
        <v>682</v>
      </c>
      <c r="B36" s="210"/>
      <c r="C36" s="210"/>
      <c r="D36" s="210"/>
      <c r="E36" s="210"/>
      <c r="F36" s="210"/>
      <c r="G36" s="210"/>
      <c r="H36" s="210"/>
      <c r="I36" s="210"/>
      <c r="J36" s="215"/>
      <c r="K36" s="6"/>
      <c r="L36" s="6"/>
      <c r="M36" s="6"/>
    </row>
    <row r="37" spans="1:13" ht="30" customHeight="1" x14ac:dyDescent="0.25">
      <c r="A37" s="252" t="s">
        <v>683</v>
      </c>
      <c r="B37" s="249"/>
      <c r="C37" s="249"/>
      <c r="D37" s="249"/>
      <c r="E37" s="249"/>
      <c r="F37" s="249"/>
      <c r="G37" s="249"/>
      <c r="H37" s="249"/>
      <c r="I37" s="249"/>
      <c r="J37" s="255"/>
      <c r="K37" s="6"/>
      <c r="L37" s="6"/>
      <c r="M37" s="6"/>
    </row>
    <row r="38" spans="1:13" ht="30" customHeight="1" x14ac:dyDescent="0.25">
      <c r="A38" s="253" t="s">
        <v>684</v>
      </c>
      <c r="B38" s="250"/>
      <c r="C38" s="250"/>
      <c r="D38" s="250"/>
      <c r="E38" s="250"/>
      <c r="F38" s="250"/>
      <c r="G38" s="250"/>
      <c r="H38" s="250"/>
      <c r="I38" s="250"/>
      <c r="J38" s="256"/>
      <c r="K38" s="6"/>
      <c r="L38" s="6"/>
      <c r="M38" s="6"/>
    </row>
    <row r="39" spans="1:13" ht="30" customHeight="1" x14ac:dyDescent="0.25">
      <c r="A39" s="252" t="s">
        <v>685</v>
      </c>
      <c r="B39" s="249"/>
      <c r="C39" s="249"/>
      <c r="D39" s="249"/>
      <c r="E39" s="249"/>
      <c r="F39" s="249"/>
      <c r="G39" s="249"/>
      <c r="H39" s="249"/>
      <c r="I39" s="249"/>
      <c r="J39" s="255"/>
      <c r="K39" s="6"/>
      <c r="L39" s="6"/>
      <c r="M39" s="6"/>
    </row>
    <row r="40" spans="1:13" ht="15.95" customHeight="1" x14ac:dyDescent="0.25">
      <c r="A40" s="253" t="str" cm="1">
        <f t="array" ref="A40">"Rounds traded away: "&amp;_xlfn.LET(_xlpm.sl,MATCH(TRUE,EXACT('Draft Order-Traded Picks'!$B$2:$K$2,$M$13),0),_xlpm.g,INDEX('Draft Order-Traded Picks'!$B$3:$K$18,_xlfn.SEQUENCE(16),_xlpm.sl),IF(SUMPRODUCT(--(_xlpm.g&lt;&gt;""))=0,"none",_xlfn.TEXTJOIN(", ",TRUE,IF(_xlpm.g&lt;&gt;"","Rd "&amp;_xlfn.SEQUENCE(16),""))))</f>
        <v>Rounds traded away: none</v>
      </c>
      <c r="B40" s="250"/>
      <c r="C40" s="250"/>
      <c r="D40" s="250"/>
      <c r="E40" s="250"/>
      <c r="F40" s="250"/>
      <c r="G40" s="250"/>
      <c r="H40" s="250"/>
      <c r="I40" s="250"/>
      <c r="J40" s="256"/>
      <c r="K40" s="6"/>
      <c r="L40" s="6"/>
      <c r="M40" s="6"/>
    </row>
    <row r="41" spans="1:13" ht="15.95" customHeight="1" x14ac:dyDescent="0.25">
      <c r="A41" s="252" t="str" cm="1">
        <f t="array" ref="A41">"Rounds acquired: "&amp;_xlfn.LET(_xlpm.m,MMULT(--EXACT('Draft Order-Traded Picks'!$B$3:$K$18,$M$12),_xlfn.SEQUENCE(10,1,1,0)),IF(SUM(_xlpm.m)=0,"none",_xlfn.TEXTJOIN(", ",TRUE,IF(_xlpm.m&gt;0,"Rd "&amp;_xlfn.SEQUENCE(16)&amp;IF(_xlpm.m&gt;1," (x"&amp;_xlpm.m&amp;")",""),""))&amp;"  -  "&amp;SUM(_xlpm.m)&amp;" pick(s) total"))</f>
        <v>Rounds acquired: none</v>
      </c>
      <c r="B41" s="249"/>
      <c r="C41" s="249"/>
      <c r="D41" s="249"/>
      <c r="E41" s="249"/>
      <c r="F41" s="249"/>
      <c r="G41" s="249"/>
      <c r="H41" s="249"/>
      <c r="I41" s="249"/>
      <c r="J41" s="255"/>
      <c r="K41" s="6"/>
      <c r="L41" s="6"/>
      <c r="M41" s="6"/>
    </row>
    <row r="42" spans="1:13" ht="30" customHeight="1" thickBot="1" x14ac:dyDescent="0.3">
      <c r="A42" s="254" t="s">
        <v>696</v>
      </c>
      <c r="B42" s="251"/>
      <c r="C42" s="251"/>
      <c r="D42" s="251"/>
      <c r="E42" s="251"/>
      <c r="F42" s="251"/>
      <c r="G42" s="251"/>
      <c r="H42" s="251"/>
      <c r="I42" s="251"/>
      <c r="J42" s="257"/>
      <c r="K42" s="6"/>
      <c r="L42" s="6"/>
      <c r="M42" s="6"/>
    </row>
  </sheetData>
  <mergeCells count="11">
    <mergeCell ref="A37:J37"/>
    <mergeCell ref="A38:J38"/>
    <mergeCell ref="A39:J39"/>
    <mergeCell ref="A40:J40"/>
    <mergeCell ref="A41:J41"/>
    <mergeCell ref="A42:J42"/>
    <mergeCell ref="A1:J1"/>
    <mergeCell ref="L2:M2"/>
    <mergeCell ref="A21:B21"/>
    <mergeCell ref="A30:J30"/>
    <mergeCell ref="A36:J36"/>
  </mergeCells>
  <conditionalFormatting sqref="A3:J20">
    <cfRule type="expression" dxfId="141" priority="1">
      <formula>AND($B3&lt;&gt;"",MOD(ROW(),2)=0)</formula>
    </cfRule>
  </conditionalFormatting>
  <conditionalFormatting sqref="C3:C20">
    <cfRule type="containsText" dxfId="140" priority="2" operator="containsText" text="QB">
      <formula>NOT(ISERROR(SEARCH("QB",C3)))</formula>
    </cfRule>
  </conditionalFormatting>
  <conditionalFormatting sqref="C3:C20">
    <cfRule type="containsText" dxfId="139" priority="3" operator="containsText" text="RB">
      <formula>NOT(ISERROR(SEARCH("RB",C3)))</formula>
    </cfRule>
  </conditionalFormatting>
  <conditionalFormatting sqref="C3:C20">
    <cfRule type="containsText" dxfId="138" priority="4" operator="containsText" text="WR">
      <formula>NOT(ISERROR(SEARCH("WR",C3)))</formula>
    </cfRule>
  </conditionalFormatting>
  <conditionalFormatting sqref="C3:C20">
    <cfRule type="containsText" dxfId="137" priority="5" operator="containsText" text="TE">
      <formula>NOT(ISERROR(SEARCH("TE",C3)))</formula>
    </cfRule>
  </conditionalFormatting>
  <conditionalFormatting sqref="C3:C20">
    <cfRule type="containsText" dxfId="136" priority="6" operator="containsText" text="K">
      <formula>NOT(ISERROR(SEARCH("K",C3)))</formula>
    </cfRule>
  </conditionalFormatting>
  <conditionalFormatting sqref="C3:C20">
    <cfRule type="containsText" dxfId="135" priority="7" operator="containsText" text="DEF">
      <formula>NOT(ISERROR(SEARCH("DEF",C3)))</formula>
    </cfRule>
  </conditionalFormatting>
  <conditionalFormatting sqref="C32:C33">
    <cfRule type="containsText" dxfId="134" priority="8" operator="containsText" text="QB">
      <formula>NOT(ISERROR(SEARCH("QB",C32)))</formula>
    </cfRule>
  </conditionalFormatting>
  <conditionalFormatting sqref="C32:C33">
    <cfRule type="containsText" dxfId="133" priority="9" operator="containsText" text="RB">
      <formula>NOT(ISERROR(SEARCH("RB",C32)))</formula>
    </cfRule>
  </conditionalFormatting>
  <conditionalFormatting sqref="C32:C33">
    <cfRule type="containsText" dxfId="132" priority="10" operator="containsText" text="WR">
      <formula>NOT(ISERROR(SEARCH("WR",C32)))</formula>
    </cfRule>
  </conditionalFormatting>
  <conditionalFormatting sqref="C32:C33">
    <cfRule type="containsText" dxfId="131" priority="11" operator="containsText" text="TE">
      <formula>NOT(ISERROR(SEARCH("TE",C32)))</formula>
    </cfRule>
  </conditionalFormatting>
  <conditionalFormatting sqref="C32:C33">
    <cfRule type="containsText" dxfId="130" priority="12" operator="containsText" text="K">
      <formula>NOT(ISERROR(SEARCH("K",C32)))</formula>
    </cfRule>
  </conditionalFormatting>
  <conditionalFormatting sqref="C32:C33">
    <cfRule type="containsText" dxfId="129" priority="13" operator="containsText" text="DEF">
      <formula>NOT(ISERROR(SEARCH("DEF",C32)))</formula>
    </cfRule>
  </conditionalFormatting>
  <conditionalFormatting sqref="I3:I20">
    <cfRule type="expression" dxfId="128" priority="14">
      <formula>$I3&lt;&gt;""</formula>
    </cfRule>
  </conditionalFormatting>
  <conditionalFormatting sqref="J3:J20">
    <cfRule type="expression" dxfId="127" priority="15">
      <formula>ISNUMBER(SEARCH("Waiver",$J3))</formula>
    </cfRule>
  </conditionalFormatting>
  <conditionalFormatting sqref="H32:H33">
    <cfRule type="expression" dxfId="126" priority="20">
      <formula>AND($B32&lt;&gt;"",$H32&lt;&gt;$G32)</formula>
    </cfRule>
  </conditionalFormatting>
  <conditionalFormatting sqref="B32:B33">
    <cfRule type="expression" dxfId="125" priority="21">
      <formula>AND($B32&lt;&gt;"",COUNTIF($B$32:$B$33,$B32)&gt;1)</formula>
    </cfRule>
  </conditionalFormatting>
  <conditionalFormatting sqref="H3:H20">
    <cfRule type="expression" dxfId="23" priority="22">
      <formula>AND(ISNUMBER($H3),$H3&gt;0)</formula>
    </cfRule>
  </conditionalFormatting>
  <conditionalFormatting sqref="H3:H20">
    <cfRule type="expression" dxfId="22" priority="23">
      <formula>AND(ISNUMBER($H3),$H3&lt;0)</formula>
    </cfRule>
  </conditionalFormatting>
  <conditionalFormatting sqref="J32:J34">
    <cfRule type="expression" dxfId="21" priority="24">
      <formula>AND(ISNUMBER($J32),$J32&gt;0)</formula>
    </cfRule>
  </conditionalFormatting>
  <conditionalFormatting sqref="J32:J34">
    <cfRule type="expression" dxfId="20" priority="25">
      <formula>AND(ISNUMBER($J32),$J32&lt;0)</formula>
    </cfRule>
  </conditionalFormatting>
  <dataValidations count="1">
    <dataValidation type="list" allowBlank="1" showInputMessage="1" showErrorMessage="1" errorTitle="Not on this roster" error="Pick a player from this team's roster list above." promptTitle="Keeper selection" prompt="Choose one of this team's players. Keeper cost and value update automatically." sqref="B32:B33" xr:uid="{1224CA11-2BB0-4CD1-B38F-FE6FC236C767}">
      <formula1>$B$3:$B$20</formula1>
    </dataValidation>
  </dataValidations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36C1EF9-4A9F-4149-BFFF-02B2721B84D0}">
  <sheetPr>
    <tabColor rgb="FF1F4E79"/>
  </sheetPr>
  <dimension ref="A1:M42"/>
  <sheetViews>
    <sheetView workbookViewId="0">
      <pane ySplit="2" topLeftCell="A3" activePane="bottomLeft" state="frozen"/>
      <selection pane="bottomLeft" sqref="A1:J1"/>
    </sheetView>
  </sheetViews>
  <sheetFormatPr defaultRowHeight="15" x14ac:dyDescent="0.25"/>
  <cols>
    <col min="1" max="1" width="21.5703125" customWidth="1"/>
    <col min="2" max="2" width="41.85546875" customWidth="1"/>
    <col min="3" max="3" width="12.7109375" customWidth="1"/>
    <col min="4" max="4" width="29.140625" customWidth="1"/>
    <col min="5" max="5" width="25.28515625" customWidth="1"/>
    <col min="6" max="6" width="21.5703125" customWidth="1"/>
    <col min="7" max="7" width="25.28515625" customWidth="1"/>
    <col min="8" max="8" width="20.42578125" customWidth="1"/>
    <col min="9" max="9" width="24.140625" customWidth="1"/>
    <col min="10" max="10" width="35.5703125" customWidth="1"/>
    <col min="11" max="11" width="4.5703125" customWidth="1"/>
    <col min="12" max="12" width="38.140625" customWidth="1"/>
    <col min="13" max="13" width="33" customWidth="1"/>
  </cols>
  <sheetData>
    <row r="1" spans="1:13" ht="30" customHeight="1" thickBot="1" x14ac:dyDescent="0.3">
      <c r="A1" s="183" t="s">
        <v>690</v>
      </c>
      <c r="B1" s="183"/>
      <c r="C1" s="183"/>
      <c r="D1" s="183"/>
      <c r="E1" s="183"/>
      <c r="F1" s="183"/>
      <c r="G1" s="183"/>
      <c r="H1" s="183"/>
      <c r="I1" s="183"/>
      <c r="J1" s="183"/>
      <c r="K1" s="6"/>
      <c r="L1" s="6"/>
      <c r="M1" s="6"/>
    </row>
    <row r="2" spans="1:13" ht="42" customHeight="1" x14ac:dyDescent="0.25">
      <c r="A2" s="191" t="s">
        <v>622</v>
      </c>
      <c r="B2" s="189" t="s">
        <v>354</v>
      </c>
      <c r="C2" s="189" t="s">
        <v>186</v>
      </c>
      <c r="D2" s="189" t="s">
        <v>545</v>
      </c>
      <c r="E2" s="189" t="s">
        <v>623</v>
      </c>
      <c r="F2" s="189" t="s">
        <v>624</v>
      </c>
      <c r="G2" s="189" t="s">
        <v>625</v>
      </c>
      <c r="H2" s="189" t="s">
        <v>626</v>
      </c>
      <c r="I2" s="189" t="s">
        <v>627</v>
      </c>
      <c r="J2" s="192" t="s">
        <v>628</v>
      </c>
      <c r="K2" s="6"/>
      <c r="L2" s="211" t="s">
        <v>661</v>
      </c>
      <c r="M2" s="215"/>
    </row>
    <row r="3" spans="1:13" x14ac:dyDescent="0.25">
      <c r="A3" s="193" t="s">
        <v>630</v>
      </c>
      <c r="B3" s="195" t="s">
        <v>66</v>
      </c>
      <c r="C3" s="185" t="s">
        <v>575</v>
      </c>
      <c r="D3" s="185" t="s">
        <v>553</v>
      </c>
      <c r="E3" s="197">
        <v>44</v>
      </c>
      <c r="F3" s="200">
        <v>5</v>
      </c>
      <c r="G3" s="200">
        <v>8</v>
      </c>
      <c r="H3" s="203">
        <v>3</v>
      </c>
      <c r="I3" s="185"/>
      <c r="J3" s="206" t="s">
        <v>631</v>
      </c>
      <c r="K3" s="6"/>
      <c r="L3" s="212" t="s">
        <v>662</v>
      </c>
      <c r="M3" s="216">
        <v>16</v>
      </c>
    </row>
    <row r="4" spans="1:13" x14ac:dyDescent="0.25">
      <c r="A4" s="194" t="s">
        <v>630</v>
      </c>
      <c r="B4" s="196" t="s">
        <v>389</v>
      </c>
      <c r="C4" s="187" t="s">
        <v>575</v>
      </c>
      <c r="D4" s="187" t="s">
        <v>573</v>
      </c>
      <c r="E4" s="198"/>
      <c r="F4" s="201"/>
      <c r="G4" s="201">
        <v>8</v>
      </c>
      <c r="H4" s="204"/>
      <c r="I4" s="187"/>
      <c r="J4" s="207" t="s">
        <v>631</v>
      </c>
      <c r="K4" s="6"/>
      <c r="L4" s="213" t="s">
        <v>663</v>
      </c>
      <c r="M4" s="217">
        <v>1</v>
      </c>
    </row>
    <row r="5" spans="1:13" x14ac:dyDescent="0.25">
      <c r="A5" s="194" t="s">
        <v>639</v>
      </c>
      <c r="B5" s="196" t="s">
        <v>88</v>
      </c>
      <c r="C5" s="187" t="s">
        <v>187</v>
      </c>
      <c r="D5" s="187" t="s">
        <v>552</v>
      </c>
      <c r="E5" s="198">
        <v>32.4</v>
      </c>
      <c r="F5" s="201">
        <v>4</v>
      </c>
      <c r="G5" s="201">
        <v>6</v>
      </c>
      <c r="H5" s="204">
        <v>2</v>
      </c>
      <c r="I5" s="187" t="s">
        <v>633</v>
      </c>
      <c r="J5" s="207" t="s">
        <v>634</v>
      </c>
      <c r="K5" s="6"/>
      <c r="L5" s="212" t="s">
        <v>664</v>
      </c>
      <c r="M5" s="218">
        <v>59.8</v>
      </c>
    </row>
    <row r="6" spans="1:13" x14ac:dyDescent="0.25">
      <c r="A6" s="194" t="s">
        <v>635</v>
      </c>
      <c r="B6" s="196" t="s">
        <v>230</v>
      </c>
      <c r="C6" s="187" t="s">
        <v>187</v>
      </c>
      <c r="D6" s="187" t="s">
        <v>564</v>
      </c>
      <c r="E6" s="198">
        <v>59.1</v>
      </c>
      <c r="F6" s="201">
        <v>6</v>
      </c>
      <c r="G6" s="201">
        <v>3</v>
      </c>
      <c r="H6" s="204">
        <v>-3</v>
      </c>
      <c r="I6" s="187"/>
      <c r="J6" s="207" t="s">
        <v>634</v>
      </c>
      <c r="K6" s="6"/>
      <c r="L6" s="213" t="s">
        <v>665</v>
      </c>
      <c r="M6" s="219">
        <v>3</v>
      </c>
    </row>
    <row r="7" spans="1:13" x14ac:dyDescent="0.25">
      <c r="A7" s="194" t="s">
        <v>630</v>
      </c>
      <c r="B7" s="196" t="s">
        <v>133</v>
      </c>
      <c r="C7" s="187" t="s">
        <v>187</v>
      </c>
      <c r="D7" s="187" t="s">
        <v>584</v>
      </c>
      <c r="E7" s="198">
        <v>74.099999999999994</v>
      </c>
      <c r="F7" s="201">
        <v>8</v>
      </c>
      <c r="G7" s="201">
        <v>8</v>
      </c>
      <c r="H7" s="204">
        <v>0</v>
      </c>
      <c r="I7" s="187"/>
      <c r="J7" s="207" t="s">
        <v>631</v>
      </c>
      <c r="K7" s="6"/>
      <c r="L7" s="212" t="s">
        <v>666</v>
      </c>
      <c r="M7" s="216" t="s">
        <v>66</v>
      </c>
    </row>
    <row r="8" spans="1:13" x14ac:dyDescent="0.25">
      <c r="A8" s="194" t="s">
        <v>630</v>
      </c>
      <c r="B8" s="196" t="s">
        <v>143</v>
      </c>
      <c r="C8" s="187" t="s">
        <v>187</v>
      </c>
      <c r="D8" s="187" t="s">
        <v>552</v>
      </c>
      <c r="E8" s="198">
        <v>122.6</v>
      </c>
      <c r="F8" s="201">
        <v>13</v>
      </c>
      <c r="G8" s="201">
        <v>8</v>
      </c>
      <c r="H8" s="204">
        <v>-5</v>
      </c>
      <c r="I8" s="187"/>
      <c r="J8" s="207" t="s">
        <v>631</v>
      </c>
      <c r="K8" s="6"/>
      <c r="L8" s="213" t="s">
        <v>667</v>
      </c>
      <c r="M8" s="217">
        <v>4</v>
      </c>
    </row>
    <row r="9" spans="1:13" ht="15.75" thickBot="1" x14ac:dyDescent="0.3">
      <c r="A9" s="194" t="s">
        <v>630</v>
      </c>
      <c r="B9" s="196" t="s">
        <v>388</v>
      </c>
      <c r="C9" s="187" t="s">
        <v>187</v>
      </c>
      <c r="D9" s="187" t="s">
        <v>567</v>
      </c>
      <c r="E9" s="198"/>
      <c r="F9" s="201"/>
      <c r="G9" s="201">
        <v>8</v>
      </c>
      <c r="H9" s="204"/>
      <c r="I9" s="187"/>
      <c r="J9" s="207" t="s">
        <v>631</v>
      </c>
      <c r="K9" s="6"/>
      <c r="L9" s="214" t="s">
        <v>668</v>
      </c>
      <c r="M9" s="220">
        <v>9</v>
      </c>
    </row>
    <row r="10" spans="1:13" x14ac:dyDescent="0.25">
      <c r="A10" s="194" t="s">
        <v>632</v>
      </c>
      <c r="B10" s="196" t="s">
        <v>77</v>
      </c>
      <c r="C10" s="187" t="s">
        <v>191</v>
      </c>
      <c r="D10" s="187" t="s">
        <v>550</v>
      </c>
      <c r="E10" s="198">
        <v>10.3</v>
      </c>
      <c r="F10" s="201">
        <v>2</v>
      </c>
      <c r="G10" s="201">
        <v>1</v>
      </c>
      <c r="H10" s="204">
        <v>-1</v>
      </c>
      <c r="I10" s="187"/>
      <c r="J10" s="207" t="s">
        <v>634</v>
      </c>
      <c r="K10" s="6"/>
      <c r="L10" s="6"/>
      <c r="M10" s="6"/>
    </row>
    <row r="11" spans="1:13" x14ac:dyDescent="0.25">
      <c r="A11" s="194" t="s">
        <v>646</v>
      </c>
      <c r="B11" s="196" t="s">
        <v>78</v>
      </c>
      <c r="C11" s="187" t="s">
        <v>191</v>
      </c>
      <c r="D11" s="187" t="s">
        <v>558</v>
      </c>
      <c r="E11" s="198">
        <v>19.899999999999999</v>
      </c>
      <c r="F11" s="201">
        <v>2</v>
      </c>
      <c r="G11" s="201">
        <v>4</v>
      </c>
      <c r="H11" s="204">
        <v>2</v>
      </c>
      <c r="I11" s="187"/>
      <c r="J11" s="207" t="s">
        <v>634</v>
      </c>
      <c r="K11" s="6"/>
      <c r="L11" s="221" t="s">
        <v>669</v>
      </c>
      <c r="M11" s="221" t="s">
        <v>656</v>
      </c>
    </row>
    <row r="12" spans="1:13" x14ac:dyDescent="0.25">
      <c r="A12" s="194" t="s">
        <v>637</v>
      </c>
      <c r="B12" s="196" t="s">
        <v>231</v>
      </c>
      <c r="C12" s="187" t="s">
        <v>191</v>
      </c>
      <c r="D12" s="187" t="s">
        <v>578</v>
      </c>
      <c r="E12" s="198">
        <v>37</v>
      </c>
      <c r="F12" s="201">
        <v>4</v>
      </c>
      <c r="G12" s="201">
        <v>6</v>
      </c>
      <c r="H12" s="204">
        <v>2</v>
      </c>
      <c r="I12" s="187"/>
      <c r="J12" s="207" t="s">
        <v>634</v>
      </c>
      <c r="K12" s="6"/>
      <c r="L12" s="221" t="s">
        <v>670</v>
      </c>
      <c r="M12" s="221" t="s">
        <v>358</v>
      </c>
    </row>
    <row r="13" spans="1:13" ht="23.25" x14ac:dyDescent="0.25">
      <c r="A13" s="194" t="s">
        <v>642</v>
      </c>
      <c r="B13" s="196" t="s">
        <v>36</v>
      </c>
      <c r="C13" s="187" t="s">
        <v>191</v>
      </c>
      <c r="D13" s="187" t="s">
        <v>581</v>
      </c>
      <c r="E13" s="198">
        <v>60.4</v>
      </c>
      <c r="F13" s="201">
        <v>7</v>
      </c>
      <c r="G13" s="201">
        <v>5</v>
      </c>
      <c r="H13" s="204">
        <v>-2</v>
      </c>
      <c r="I13" s="187"/>
      <c r="J13" s="207" t="s">
        <v>634</v>
      </c>
      <c r="K13" s="6"/>
      <c r="L13" s="221" t="s">
        <v>671</v>
      </c>
      <c r="M13" s="222" t="s">
        <v>185</v>
      </c>
    </row>
    <row r="14" spans="1:13" x14ac:dyDescent="0.25">
      <c r="A14" s="194" t="s">
        <v>630</v>
      </c>
      <c r="B14" s="196" t="s">
        <v>91</v>
      </c>
      <c r="C14" s="187" t="s">
        <v>191</v>
      </c>
      <c r="D14" s="187" t="s">
        <v>574</v>
      </c>
      <c r="E14" s="198">
        <v>63.5</v>
      </c>
      <c r="F14" s="201">
        <v>7</v>
      </c>
      <c r="G14" s="201">
        <v>8</v>
      </c>
      <c r="H14" s="204">
        <v>1</v>
      </c>
      <c r="I14" s="187"/>
      <c r="J14" s="207" t="s">
        <v>631</v>
      </c>
      <c r="K14" s="6"/>
      <c r="L14" s="6"/>
      <c r="M14" s="6"/>
    </row>
    <row r="15" spans="1:13" x14ac:dyDescent="0.25">
      <c r="A15" s="194" t="s">
        <v>630</v>
      </c>
      <c r="B15" s="196" t="s">
        <v>240</v>
      </c>
      <c r="C15" s="187" t="s">
        <v>191</v>
      </c>
      <c r="D15" s="187" t="s">
        <v>568</v>
      </c>
      <c r="E15" s="198">
        <v>129.6</v>
      </c>
      <c r="F15" s="201">
        <v>13</v>
      </c>
      <c r="G15" s="201">
        <v>8</v>
      </c>
      <c r="H15" s="204">
        <v>-5</v>
      </c>
      <c r="I15" s="187"/>
      <c r="J15" s="207" t="s">
        <v>631</v>
      </c>
      <c r="K15" s="6"/>
      <c r="L15" s="6"/>
      <c r="M15" s="6"/>
    </row>
    <row r="16" spans="1:13" x14ac:dyDescent="0.25">
      <c r="A16" s="194" t="s">
        <v>650</v>
      </c>
      <c r="B16" s="196" t="s">
        <v>233</v>
      </c>
      <c r="C16" s="187" t="s">
        <v>576</v>
      </c>
      <c r="D16" s="187" t="s">
        <v>556</v>
      </c>
      <c r="E16" s="198">
        <v>64.7</v>
      </c>
      <c r="F16" s="201">
        <v>7</v>
      </c>
      <c r="G16" s="201">
        <v>10</v>
      </c>
      <c r="H16" s="204">
        <v>3</v>
      </c>
      <c r="I16" s="187"/>
      <c r="J16" s="207" t="s">
        <v>634</v>
      </c>
      <c r="K16" s="6"/>
      <c r="L16" s="6"/>
      <c r="M16" s="6"/>
    </row>
    <row r="17" spans="1:13" x14ac:dyDescent="0.25">
      <c r="A17" s="194" t="s">
        <v>630</v>
      </c>
      <c r="B17" s="196" t="s">
        <v>81</v>
      </c>
      <c r="C17" s="187" t="s">
        <v>673</v>
      </c>
      <c r="D17" s="187" t="s">
        <v>553</v>
      </c>
      <c r="E17" s="198"/>
      <c r="F17" s="201"/>
      <c r="G17" s="201">
        <v>8</v>
      </c>
      <c r="H17" s="204"/>
      <c r="I17" s="187"/>
      <c r="J17" s="207" t="s">
        <v>631</v>
      </c>
      <c r="K17" s="6"/>
      <c r="L17" s="6"/>
      <c r="M17" s="6"/>
    </row>
    <row r="18" spans="1:13" x14ac:dyDescent="0.25">
      <c r="A18" s="194" t="s">
        <v>630</v>
      </c>
      <c r="B18" s="196" t="s">
        <v>390</v>
      </c>
      <c r="C18" s="187" t="s">
        <v>589</v>
      </c>
      <c r="D18" s="187" t="s">
        <v>552</v>
      </c>
      <c r="E18" s="198"/>
      <c r="F18" s="201"/>
      <c r="G18" s="201">
        <v>8</v>
      </c>
      <c r="H18" s="204"/>
      <c r="I18" s="187"/>
      <c r="J18" s="207" t="s">
        <v>631</v>
      </c>
      <c r="K18" s="6"/>
      <c r="L18" s="6"/>
      <c r="M18" s="6"/>
    </row>
    <row r="19" spans="1:13" x14ac:dyDescent="0.25">
      <c r="A19" s="194"/>
      <c r="B19" s="196"/>
      <c r="C19" s="187"/>
      <c r="D19" s="187"/>
      <c r="E19" s="198"/>
      <c r="F19" s="201"/>
      <c r="G19" s="201"/>
      <c r="H19" s="204"/>
      <c r="I19" s="187"/>
      <c r="J19" s="207"/>
      <c r="K19" s="6"/>
      <c r="L19" s="6"/>
      <c r="M19" s="6"/>
    </row>
    <row r="20" spans="1:13" ht="15.75" thickBot="1" x14ac:dyDescent="0.3">
      <c r="A20" s="223"/>
      <c r="B20" s="224"/>
      <c r="C20" s="190"/>
      <c r="D20" s="188"/>
      <c r="E20" s="233"/>
      <c r="F20" s="202"/>
      <c r="G20" s="202"/>
      <c r="H20" s="205"/>
      <c r="I20" s="190"/>
      <c r="J20" s="208"/>
      <c r="K20" s="6"/>
      <c r="L20" s="6"/>
      <c r="M20" s="6"/>
    </row>
    <row r="21" spans="1:13" ht="20.100000000000001" customHeight="1" x14ac:dyDescent="0.25">
      <c r="A21" s="211" t="s">
        <v>672</v>
      </c>
      <c r="B21" s="215"/>
      <c r="C21" s="6"/>
      <c r="H21" s="6"/>
      <c r="I21" s="6"/>
      <c r="J21" s="6"/>
      <c r="K21" s="6"/>
      <c r="L21" s="6"/>
      <c r="M21" s="6"/>
    </row>
    <row r="22" spans="1:13" x14ac:dyDescent="0.25">
      <c r="A22" s="225" t="s">
        <v>575</v>
      </c>
      <c r="B22" s="216">
        <v>2</v>
      </c>
      <c r="C22" s="6"/>
      <c r="H22" s="6"/>
      <c r="I22" s="6"/>
      <c r="J22" s="6"/>
      <c r="K22" s="6"/>
      <c r="L22" s="6"/>
      <c r="M22" s="6"/>
    </row>
    <row r="23" spans="1:13" x14ac:dyDescent="0.25">
      <c r="A23" s="226" t="s">
        <v>187</v>
      </c>
      <c r="B23" s="217">
        <v>5</v>
      </c>
      <c r="C23" s="6"/>
      <c r="H23" s="6"/>
      <c r="I23" s="6"/>
      <c r="J23" s="6"/>
      <c r="K23" s="6"/>
      <c r="L23" s="6"/>
      <c r="M23" s="6"/>
    </row>
    <row r="24" spans="1:13" x14ac:dyDescent="0.25">
      <c r="A24" s="227" t="s">
        <v>191</v>
      </c>
      <c r="B24" s="216">
        <v>6</v>
      </c>
      <c r="C24" s="6"/>
      <c r="H24" s="6"/>
      <c r="I24" s="6"/>
      <c r="J24" s="6"/>
      <c r="K24" s="6"/>
      <c r="L24" s="6"/>
      <c r="M24" s="6"/>
    </row>
    <row r="25" spans="1:13" x14ac:dyDescent="0.25">
      <c r="A25" s="228" t="s">
        <v>576</v>
      </c>
      <c r="B25" s="217">
        <v>1</v>
      </c>
      <c r="C25" s="6"/>
      <c r="H25" s="6"/>
      <c r="I25" s="6"/>
      <c r="J25" s="6"/>
      <c r="K25" s="6"/>
      <c r="L25" s="6"/>
      <c r="M25" s="6"/>
    </row>
    <row r="26" spans="1:13" x14ac:dyDescent="0.25">
      <c r="A26" s="229" t="s">
        <v>673</v>
      </c>
      <c r="B26" s="216">
        <v>1</v>
      </c>
      <c r="C26" s="6"/>
      <c r="H26" s="6"/>
      <c r="I26" s="6"/>
      <c r="J26" s="6"/>
      <c r="K26" s="6"/>
      <c r="L26" s="6"/>
      <c r="M26" s="6"/>
    </row>
    <row r="27" spans="1:13" x14ac:dyDescent="0.25">
      <c r="A27" s="230" t="s">
        <v>589</v>
      </c>
      <c r="B27" s="217">
        <v>1</v>
      </c>
      <c r="C27" s="6"/>
      <c r="H27" s="6"/>
      <c r="I27" s="6"/>
      <c r="J27" s="6"/>
      <c r="K27" s="6"/>
      <c r="L27" s="6"/>
      <c r="M27" s="6"/>
    </row>
    <row r="28" spans="1:13" ht="15.75" thickBot="1" x14ac:dyDescent="0.3">
      <c r="A28" s="231" t="s">
        <v>674</v>
      </c>
      <c r="B28" s="232">
        <f>SUM(B22:B27)</f>
        <v>16</v>
      </c>
      <c r="C28" s="6"/>
      <c r="H28" s="6"/>
      <c r="I28" s="6"/>
      <c r="J28" s="6"/>
      <c r="K28" s="6"/>
      <c r="L28" s="6"/>
      <c r="M28" s="6"/>
    </row>
    <row r="29" spans="1:13" x14ac:dyDescent="0.25">
      <c r="A29" s="6"/>
      <c r="B29" s="6"/>
      <c r="C29" s="6"/>
      <c r="D29" s="6"/>
      <c r="E29" s="6"/>
      <c r="F29" s="6"/>
      <c r="G29" s="6"/>
      <c r="H29" s="6"/>
      <c r="I29" s="6"/>
      <c r="J29" s="6"/>
      <c r="K29" s="6"/>
      <c r="L29" s="6"/>
      <c r="M29" s="6"/>
    </row>
    <row r="30" spans="1:13" ht="20.100000000000001" customHeight="1" thickBot="1" x14ac:dyDescent="0.3">
      <c r="A30" s="209" t="s">
        <v>675</v>
      </c>
      <c r="B30" s="209"/>
      <c r="C30" s="209"/>
      <c r="D30" s="209"/>
      <c r="E30" s="209"/>
      <c r="F30" s="209"/>
      <c r="G30" s="209"/>
      <c r="H30" s="209"/>
      <c r="I30" s="209"/>
      <c r="J30" s="209"/>
      <c r="K30" s="6"/>
      <c r="L30" s="6"/>
      <c r="M30" s="6"/>
    </row>
    <row r="31" spans="1:13" ht="30" customHeight="1" x14ac:dyDescent="0.25">
      <c r="A31" s="235" t="s">
        <v>622</v>
      </c>
      <c r="B31" s="234" t="s">
        <v>676</v>
      </c>
      <c r="C31" s="234" t="s">
        <v>186</v>
      </c>
      <c r="D31" s="234" t="s">
        <v>545</v>
      </c>
      <c r="E31" s="234" t="s">
        <v>547</v>
      </c>
      <c r="F31" s="234" t="s">
        <v>677</v>
      </c>
      <c r="G31" s="234" t="s">
        <v>678</v>
      </c>
      <c r="H31" s="234" t="s">
        <v>679</v>
      </c>
      <c r="I31" s="234" t="s">
        <v>680</v>
      </c>
      <c r="J31" s="236" t="s">
        <v>626</v>
      </c>
      <c r="K31" s="6"/>
      <c r="L31" s="6"/>
      <c r="M31" s="6"/>
    </row>
    <row r="32" spans="1:13" x14ac:dyDescent="0.25">
      <c r="A32" s="237" t="str">
        <f>IF($B32="","",IFERROR(_xlfn.XLOOKUP($B32,$B$3:$B$20,$A$3:$A$20),""))</f>
        <v/>
      </c>
      <c r="B32" s="239"/>
      <c r="C32" s="184" t="str">
        <f>IF($B32="","",IFERROR(_xlfn.XLOOKUP($B32,$B$3:$B$20,$C$3:$C$20),""))</f>
        <v/>
      </c>
      <c r="D32" s="185" t="str">
        <f>IF($B32="","",IFERROR(_xlfn.XLOOKUP($B32,$B$3:$B$20,$D$3:$D$20),""))</f>
        <v/>
      </c>
      <c r="E32" s="197" t="str">
        <f>IF($B32="","",IFERROR(_xlfn.XLOOKUP($B32,$B$3:$B$20,$E$3:$E$20),""))</f>
        <v/>
      </c>
      <c r="F32" s="200" t="str">
        <f>IF($B32="","",IFERROR(_xlfn.XLOOKUP($B32,$B$3:$B$20,$F$3:$F$20),""))</f>
        <v/>
      </c>
      <c r="G32" s="200" t="str">
        <f>IF($B32="","",IFERROR(_xlfn.XLOOKUP($B32,$B$3:$B$20,$G$3:$G$20),""))</f>
        <v/>
      </c>
      <c r="H32" s="200" t="str">
        <f>IF($B32="","",IF(OR($B33="",$G32&lt;&gt;$G33),$G32,IF($G32=1,IF($E32&lt;=$E33,1,2),IF($E32&lt;=$E33,MAX(1,$G32-1),$G32))))</f>
        <v/>
      </c>
      <c r="I32" s="185" t="str">
        <f>IF($H32="","","Round "&amp;$H32)</f>
        <v/>
      </c>
      <c r="J32" s="241" t="str">
        <f>IF(OR($B32="",$F32=""),"",$F32-$H32)</f>
        <v/>
      </c>
      <c r="K32" s="6"/>
      <c r="L32" s="6"/>
      <c r="M32" s="6"/>
    </row>
    <row r="33" spans="1:13" x14ac:dyDescent="0.25">
      <c r="A33" s="238" t="str">
        <f>IF($B33="","",IFERROR(_xlfn.XLOOKUP($B33,$B$3:$B$20,$A$3:$A$20),""))</f>
        <v/>
      </c>
      <c r="B33" s="240"/>
      <c r="C33" s="186" t="str">
        <f>IF($B33="","",IFERROR(_xlfn.XLOOKUP($B33,$B$3:$B$20,$C$3:$C$20),""))</f>
        <v/>
      </c>
      <c r="D33" s="187" t="str">
        <f>IF($B33="","",IFERROR(_xlfn.XLOOKUP($B33,$B$3:$B$20,$D$3:$D$20),""))</f>
        <v/>
      </c>
      <c r="E33" s="198" t="str">
        <f>IF($B33="","",IFERROR(_xlfn.XLOOKUP($B33,$B$3:$B$20,$E$3:$E$20),""))</f>
        <v/>
      </c>
      <c r="F33" s="201" t="str">
        <f>IF($B33="","",IFERROR(_xlfn.XLOOKUP($B33,$B$3:$B$20,$F$3:$F$20),""))</f>
        <v/>
      </c>
      <c r="G33" s="201" t="str">
        <f>IF($B33="","",IFERROR(_xlfn.XLOOKUP($B33,$B$3:$B$20,$G$3:$G$20),""))</f>
        <v/>
      </c>
      <c r="H33" s="201" t="str">
        <f>IF($B33="","",IF(OR($B32="",$G33&lt;&gt;$G32),$G33,IF($G33=1,IF($E33&lt;=$E32,1,2),IF($E33&lt;=$E32,MAX(1,$G33-1),$G33))))</f>
        <v/>
      </c>
      <c r="I33" s="187" t="str">
        <f>IF($H33="","","Round "&amp;$H33)</f>
        <v/>
      </c>
      <c r="J33" s="242" t="str">
        <f>IF(OR($B33="",$F33=""),"",$F33-$H33)</f>
        <v/>
      </c>
      <c r="K33" s="6"/>
      <c r="L33" s="6"/>
      <c r="M33" s="6"/>
    </row>
    <row r="34" spans="1:13" ht="15.75" thickBot="1" x14ac:dyDescent="0.3">
      <c r="A34" s="248" t="s">
        <v>681</v>
      </c>
      <c r="B34" s="243"/>
      <c r="C34" s="244"/>
      <c r="D34" s="244"/>
      <c r="E34" s="244"/>
      <c r="F34" s="244"/>
      <c r="G34" s="245" t="str">
        <f>IF(COUNT($G$32:$G$33)=0,"",SUM($G$32:$G$33))</f>
        <v/>
      </c>
      <c r="H34" s="245" t="str">
        <f>IF(COUNT($H$32:$H$33)=0,"",SUM($H$32:$H$33))</f>
        <v/>
      </c>
      <c r="I34" s="246"/>
      <c r="J34" s="247" t="str">
        <f>IF(COUNT($J$32:$J$33)=0,"",SUM($J$32:$J$33))</f>
        <v/>
      </c>
      <c r="K34" s="6"/>
      <c r="L34" s="6"/>
      <c r="M34" s="6"/>
    </row>
    <row r="35" spans="1:13" ht="15.75" thickBot="1" x14ac:dyDescent="0.3">
      <c r="A35" s="6"/>
      <c r="B35" s="6"/>
      <c r="C35" s="6"/>
      <c r="D35" s="6"/>
      <c r="E35" s="6"/>
      <c r="F35" s="6"/>
      <c r="G35" s="6"/>
      <c r="H35" s="6"/>
      <c r="I35" s="6"/>
      <c r="J35" s="6"/>
      <c r="K35" s="6"/>
      <c r="L35" s="6"/>
      <c r="M35" s="6"/>
    </row>
    <row r="36" spans="1:13" ht="20.100000000000001" customHeight="1" x14ac:dyDescent="0.25">
      <c r="A36" s="211" t="s">
        <v>682</v>
      </c>
      <c r="B36" s="210"/>
      <c r="C36" s="210"/>
      <c r="D36" s="210"/>
      <c r="E36" s="210"/>
      <c r="F36" s="210"/>
      <c r="G36" s="210"/>
      <c r="H36" s="210"/>
      <c r="I36" s="210"/>
      <c r="J36" s="215"/>
      <c r="K36" s="6"/>
      <c r="L36" s="6"/>
      <c r="M36" s="6"/>
    </row>
    <row r="37" spans="1:13" ht="30" customHeight="1" x14ac:dyDescent="0.25">
      <c r="A37" s="252" t="s">
        <v>683</v>
      </c>
      <c r="B37" s="249"/>
      <c r="C37" s="249"/>
      <c r="D37" s="249"/>
      <c r="E37" s="249"/>
      <c r="F37" s="249"/>
      <c r="G37" s="249"/>
      <c r="H37" s="249"/>
      <c r="I37" s="249"/>
      <c r="J37" s="255"/>
      <c r="K37" s="6"/>
      <c r="L37" s="6"/>
      <c r="M37" s="6"/>
    </row>
    <row r="38" spans="1:13" ht="30" customHeight="1" x14ac:dyDescent="0.25">
      <c r="A38" s="253" t="s">
        <v>684</v>
      </c>
      <c r="B38" s="250"/>
      <c r="C38" s="250"/>
      <c r="D38" s="250"/>
      <c r="E38" s="250"/>
      <c r="F38" s="250"/>
      <c r="G38" s="250"/>
      <c r="H38" s="250"/>
      <c r="I38" s="250"/>
      <c r="J38" s="256"/>
      <c r="K38" s="6"/>
      <c r="L38" s="6"/>
      <c r="M38" s="6"/>
    </row>
    <row r="39" spans="1:13" ht="30" customHeight="1" x14ac:dyDescent="0.25">
      <c r="A39" s="252" t="s">
        <v>685</v>
      </c>
      <c r="B39" s="249"/>
      <c r="C39" s="249"/>
      <c r="D39" s="249"/>
      <c r="E39" s="249"/>
      <c r="F39" s="249"/>
      <c r="G39" s="249"/>
      <c r="H39" s="249"/>
      <c r="I39" s="249"/>
      <c r="J39" s="255"/>
      <c r="K39" s="6"/>
      <c r="L39" s="6"/>
      <c r="M39" s="6"/>
    </row>
    <row r="40" spans="1:13" ht="15.95" customHeight="1" x14ac:dyDescent="0.25">
      <c r="A40" s="253" t="str" cm="1">
        <f t="array" ref="A40">"Rounds traded away: "&amp;_xlfn.LET(_xlpm.sl,MATCH(TRUE,EXACT('Draft Order-Traded Picks'!$B$2:$K$2,$M$13),0),_xlpm.g,INDEX('Draft Order-Traded Picks'!$B$3:$K$18,_xlfn.SEQUENCE(16),_xlpm.sl),IF(SUMPRODUCT(--(_xlpm.g&lt;&gt;""))=0,"none",_xlfn.TEXTJOIN(", ",TRUE,IF(_xlpm.g&lt;&gt;"","Rd "&amp;_xlfn.SEQUENCE(16),""))))</f>
        <v>Rounds traded away: none</v>
      </c>
      <c r="B40" s="250"/>
      <c r="C40" s="250"/>
      <c r="D40" s="250"/>
      <c r="E40" s="250"/>
      <c r="F40" s="250"/>
      <c r="G40" s="250"/>
      <c r="H40" s="250"/>
      <c r="I40" s="250"/>
      <c r="J40" s="256"/>
      <c r="K40" s="6"/>
      <c r="L40" s="6"/>
      <c r="M40" s="6"/>
    </row>
    <row r="41" spans="1:13" ht="15.95" customHeight="1" x14ac:dyDescent="0.25">
      <c r="A41" s="252" t="str" cm="1">
        <f t="array" ref="A41">"Rounds acquired: "&amp;_xlfn.LET(_xlpm.m,MMULT(--EXACT('Draft Order-Traded Picks'!$B$3:$K$18,$M$12),_xlfn.SEQUENCE(10,1,1,0)),IF(SUM(_xlpm.m)=0,"none",_xlfn.TEXTJOIN(", ",TRUE,IF(_xlpm.m&gt;0,"Rd "&amp;_xlfn.SEQUENCE(16)&amp;IF(_xlpm.m&gt;1," (x"&amp;_xlpm.m&amp;")",""),""))&amp;"  -  "&amp;SUM(_xlpm.m)&amp;" pick(s) total"))</f>
        <v>Rounds acquired: none</v>
      </c>
      <c r="B41" s="249"/>
      <c r="C41" s="249"/>
      <c r="D41" s="249"/>
      <c r="E41" s="249"/>
      <c r="F41" s="249"/>
      <c r="G41" s="249"/>
      <c r="H41" s="249"/>
      <c r="I41" s="249"/>
      <c r="J41" s="255"/>
      <c r="K41" s="6"/>
      <c r="L41" s="6"/>
      <c r="M41" s="6"/>
    </row>
    <row r="42" spans="1:13" ht="30" customHeight="1" thickBot="1" x14ac:dyDescent="0.3">
      <c r="A42" s="254" t="s">
        <v>696</v>
      </c>
      <c r="B42" s="251"/>
      <c r="C42" s="251"/>
      <c r="D42" s="251"/>
      <c r="E42" s="251"/>
      <c r="F42" s="251"/>
      <c r="G42" s="251"/>
      <c r="H42" s="251"/>
      <c r="I42" s="251"/>
      <c r="J42" s="257"/>
      <c r="K42" s="6"/>
      <c r="L42" s="6"/>
      <c r="M42" s="6"/>
    </row>
  </sheetData>
  <mergeCells count="11">
    <mergeCell ref="A37:J37"/>
    <mergeCell ref="A38:J38"/>
    <mergeCell ref="A39:J39"/>
    <mergeCell ref="A40:J40"/>
    <mergeCell ref="A41:J41"/>
    <mergeCell ref="A42:J42"/>
    <mergeCell ref="A1:J1"/>
    <mergeCell ref="L2:M2"/>
    <mergeCell ref="A21:B21"/>
    <mergeCell ref="A30:J30"/>
    <mergeCell ref="A36:J36"/>
  </mergeCells>
  <conditionalFormatting sqref="A3:J20">
    <cfRule type="expression" dxfId="124" priority="1">
      <formula>AND($B3&lt;&gt;"",MOD(ROW(),2)=0)</formula>
    </cfRule>
  </conditionalFormatting>
  <conditionalFormatting sqref="C3:C20">
    <cfRule type="containsText" dxfId="123" priority="2" operator="containsText" text="QB">
      <formula>NOT(ISERROR(SEARCH("QB",C3)))</formula>
    </cfRule>
  </conditionalFormatting>
  <conditionalFormatting sqref="C3:C20">
    <cfRule type="containsText" dxfId="122" priority="3" operator="containsText" text="RB">
      <formula>NOT(ISERROR(SEARCH("RB",C3)))</formula>
    </cfRule>
  </conditionalFormatting>
  <conditionalFormatting sqref="C3:C20">
    <cfRule type="containsText" dxfId="121" priority="4" operator="containsText" text="WR">
      <formula>NOT(ISERROR(SEARCH("WR",C3)))</formula>
    </cfRule>
  </conditionalFormatting>
  <conditionalFormatting sqref="C3:C20">
    <cfRule type="containsText" dxfId="120" priority="5" operator="containsText" text="TE">
      <formula>NOT(ISERROR(SEARCH("TE",C3)))</formula>
    </cfRule>
  </conditionalFormatting>
  <conditionalFormatting sqref="C3:C20">
    <cfRule type="containsText" dxfId="119" priority="6" operator="containsText" text="K">
      <formula>NOT(ISERROR(SEARCH("K",C3)))</formula>
    </cfRule>
  </conditionalFormatting>
  <conditionalFormatting sqref="C3:C20">
    <cfRule type="containsText" dxfId="118" priority="7" operator="containsText" text="DEF">
      <formula>NOT(ISERROR(SEARCH("DEF",C3)))</formula>
    </cfRule>
  </conditionalFormatting>
  <conditionalFormatting sqref="C32:C33">
    <cfRule type="containsText" dxfId="117" priority="8" operator="containsText" text="QB">
      <formula>NOT(ISERROR(SEARCH("QB",C32)))</formula>
    </cfRule>
  </conditionalFormatting>
  <conditionalFormatting sqref="C32:C33">
    <cfRule type="containsText" dxfId="116" priority="9" operator="containsText" text="RB">
      <formula>NOT(ISERROR(SEARCH("RB",C32)))</formula>
    </cfRule>
  </conditionalFormatting>
  <conditionalFormatting sqref="C32:C33">
    <cfRule type="containsText" dxfId="115" priority="10" operator="containsText" text="WR">
      <formula>NOT(ISERROR(SEARCH("WR",C32)))</formula>
    </cfRule>
  </conditionalFormatting>
  <conditionalFormatting sqref="C32:C33">
    <cfRule type="containsText" dxfId="114" priority="11" operator="containsText" text="TE">
      <formula>NOT(ISERROR(SEARCH("TE",C32)))</formula>
    </cfRule>
  </conditionalFormatting>
  <conditionalFormatting sqref="C32:C33">
    <cfRule type="containsText" dxfId="113" priority="12" operator="containsText" text="K">
      <formula>NOT(ISERROR(SEARCH("K",C32)))</formula>
    </cfRule>
  </conditionalFormatting>
  <conditionalFormatting sqref="C32:C33">
    <cfRule type="containsText" dxfId="112" priority="13" operator="containsText" text="DEF">
      <formula>NOT(ISERROR(SEARCH("DEF",C32)))</formula>
    </cfRule>
  </conditionalFormatting>
  <conditionalFormatting sqref="I3:I20">
    <cfRule type="expression" dxfId="111" priority="14">
      <formula>$I3&lt;&gt;""</formula>
    </cfRule>
  </conditionalFormatting>
  <conditionalFormatting sqref="J3:J20">
    <cfRule type="expression" dxfId="110" priority="15">
      <formula>ISNUMBER(SEARCH("Waiver",$J3))</formula>
    </cfRule>
  </conditionalFormatting>
  <conditionalFormatting sqref="H32:H33">
    <cfRule type="expression" dxfId="109" priority="20">
      <formula>AND($B32&lt;&gt;"",$H32&lt;&gt;$G32)</formula>
    </cfRule>
  </conditionalFormatting>
  <conditionalFormatting sqref="B32:B33">
    <cfRule type="expression" dxfId="108" priority="21">
      <formula>AND($B32&lt;&gt;"",COUNTIF($B$32:$B$33,$B32)&gt;1)</formula>
    </cfRule>
  </conditionalFormatting>
  <conditionalFormatting sqref="H3:H20">
    <cfRule type="expression" dxfId="19" priority="22">
      <formula>AND(ISNUMBER($H3),$H3&gt;0)</formula>
    </cfRule>
  </conditionalFormatting>
  <conditionalFormatting sqref="H3:H20">
    <cfRule type="expression" dxfId="18" priority="23">
      <formula>AND(ISNUMBER($H3),$H3&lt;0)</formula>
    </cfRule>
  </conditionalFormatting>
  <conditionalFormatting sqref="J32:J34">
    <cfRule type="expression" dxfId="17" priority="24">
      <formula>AND(ISNUMBER($J32),$J32&gt;0)</formula>
    </cfRule>
  </conditionalFormatting>
  <conditionalFormatting sqref="J32:J34">
    <cfRule type="expression" dxfId="16" priority="25">
      <formula>AND(ISNUMBER($J32),$J32&lt;0)</formula>
    </cfRule>
  </conditionalFormatting>
  <dataValidations count="1">
    <dataValidation type="list" allowBlank="1" showInputMessage="1" showErrorMessage="1" errorTitle="Not on this roster" error="Pick a player from this team's roster list above." promptTitle="Keeper selection" prompt="Choose one of this team's players. Keeper cost and value update automatically." sqref="B32:B33" xr:uid="{E6A35242-FDE3-4BEC-9E8E-859C9E7CAA71}">
      <formula1>$B$3:$B$20</formula1>
    </dataValidation>
  </dataValidations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C2FF8A0-F044-4DF9-9452-E83AC4CD2AF8}">
  <sheetPr>
    <tabColor rgb="FF1F4E79"/>
  </sheetPr>
  <dimension ref="A1:M42"/>
  <sheetViews>
    <sheetView workbookViewId="0">
      <pane ySplit="2" topLeftCell="A3" activePane="bottomLeft" state="frozen"/>
      <selection pane="bottomLeft" sqref="A1:J1"/>
    </sheetView>
  </sheetViews>
  <sheetFormatPr defaultRowHeight="15" x14ac:dyDescent="0.25"/>
  <cols>
    <col min="1" max="1" width="21.5703125" customWidth="1"/>
    <col min="2" max="2" width="41.85546875" customWidth="1"/>
    <col min="3" max="3" width="12.7109375" customWidth="1"/>
    <col min="4" max="4" width="29.140625" customWidth="1"/>
    <col min="5" max="5" width="25.28515625" customWidth="1"/>
    <col min="6" max="6" width="21.5703125" customWidth="1"/>
    <col min="7" max="7" width="25.28515625" customWidth="1"/>
    <col min="8" max="8" width="20.42578125" customWidth="1"/>
    <col min="9" max="9" width="24.140625" customWidth="1"/>
    <col min="10" max="10" width="35.5703125" customWidth="1"/>
    <col min="11" max="11" width="4.5703125" customWidth="1"/>
    <col min="12" max="12" width="38.140625" customWidth="1"/>
    <col min="13" max="13" width="33" customWidth="1"/>
  </cols>
  <sheetData>
    <row r="1" spans="1:13" ht="30" customHeight="1" thickBot="1" x14ac:dyDescent="0.3">
      <c r="A1" s="183" t="s">
        <v>691</v>
      </c>
      <c r="B1" s="183"/>
      <c r="C1" s="183"/>
      <c r="D1" s="183"/>
      <c r="E1" s="183"/>
      <c r="F1" s="183"/>
      <c r="G1" s="183"/>
      <c r="H1" s="183"/>
      <c r="I1" s="183"/>
      <c r="J1" s="183"/>
      <c r="K1" s="6"/>
      <c r="L1" s="6"/>
      <c r="M1" s="6"/>
    </row>
    <row r="2" spans="1:13" ht="42" customHeight="1" x14ac:dyDescent="0.25">
      <c r="A2" s="191" t="s">
        <v>622</v>
      </c>
      <c r="B2" s="189" t="s">
        <v>354</v>
      </c>
      <c r="C2" s="189" t="s">
        <v>186</v>
      </c>
      <c r="D2" s="189" t="s">
        <v>545</v>
      </c>
      <c r="E2" s="189" t="s">
        <v>623</v>
      </c>
      <c r="F2" s="189" t="s">
        <v>624</v>
      </c>
      <c r="G2" s="189" t="s">
        <v>625</v>
      </c>
      <c r="H2" s="189" t="s">
        <v>626</v>
      </c>
      <c r="I2" s="189" t="s">
        <v>627</v>
      </c>
      <c r="J2" s="192" t="s">
        <v>628</v>
      </c>
      <c r="K2" s="6"/>
      <c r="L2" s="211" t="s">
        <v>661</v>
      </c>
      <c r="M2" s="215"/>
    </row>
    <row r="3" spans="1:13" x14ac:dyDescent="0.25">
      <c r="A3" s="193" t="s">
        <v>630</v>
      </c>
      <c r="B3" s="195" t="s">
        <v>106</v>
      </c>
      <c r="C3" s="185" t="s">
        <v>575</v>
      </c>
      <c r="D3" s="185" t="s">
        <v>555</v>
      </c>
      <c r="E3" s="197">
        <v>75.5</v>
      </c>
      <c r="F3" s="200">
        <v>8</v>
      </c>
      <c r="G3" s="200">
        <v>8</v>
      </c>
      <c r="H3" s="203">
        <v>0</v>
      </c>
      <c r="I3" s="185"/>
      <c r="J3" s="206" t="s">
        <v>631</v>
      </c>
      <c r="K3" s="6"/>
      <c r="L3" s="212" t="s">
        <v>662</v>
      </c>
      <c r="M3" s="216">
        <v>18</v>
      </c>
    </row>
    <row r="4" spans="1:13" x14ac:dyDescent="0.25">
      <c r="A4" s="194" t="s">
        <v>645</v>
      </c>
      <c r="B4" s="196" t="s">
        <v>253</v>
      </c>
      <c r="C4" s="187" t="s">
        <v>575</v>
      </c>
      <c r="D4" s="187" t="s">
        <v>578</v>
      </c>
      <c r="E4" s="198">
        <v>117.8</v>
      </c>
      <c r="F4" s="201">
        <v>12</v>
      </c>
      <c r="G4" s="201">
        <v>11</v>
      </c>
      <c r="H4" s="204">
        <v>-1</v>
      </c>
      <c r="I4" s="187"/>
      <c r="J4" s="207" t="s">
        <v>634</v>
      </c>
      <c r="K4" s="6"/>
      <c r="L4" s="213" t="s">
        <v>663</v>
      </c>
      <c r="M4" s="217">
        <v>2</v>
      </c>
    </row>
    <row r="5" spans="1:13" x14ac:dyDescent="0.25">
      <c r="A5" s="194" t="s">
        <v>632</v>
      </c>
      <c r="B5" s="196" t="s">
        <v>64</v>
      </c>
      <c r="C5" s="187" t="s">
        <v>187</v>
      </c>
      <c r="D5" s="187" t="s">
        <v>565</v>
      </c>
      <c r="E5" s="198">
        <v>20.100000000000001</v>
      </c>
      <c r="F5" s="201">
        <v>3</v>
      </c>
      <c r="G5" s="201">
        <v>1</v>
      </c>
      <c r="H5" s="204">
        <v>-2</v>
      </c>
      <c r="I5" s="187" t="s">
        <v>633</v>
      </c>
      <c r="J5" s="207" t="s">
        <v>634</v>
      </c>
      <c r="K5" s="6"/>
      <c r="L5" s="212" t="s">
        <v>664</v>
      </c>
      <c r="M5" s="218">
        <v>83.738461538461493</v>
      </c>
    </row>
    <row r="6" spans="1:13" x14ac:dyDescent="0.25">
      <c r="A6" s="194" t="s">
        <v>638</v>
      </c>
      <c r="B6" s="196" t="s">
        <v>67</v>
      </c>
      <c r="C6" s="187" t="s">
        <v>187</v>
      </c>
      <c r="D6" s="187" t="s">
        <v>558</v>
      </c>
      <c r="E6" s="198">
        <v>37.4</v>
      </c>
      <c r="F6" s="201">
        <v>4</v>
      </c>
      <c r="G6" s="201">
        <v>12</v>
      </c>
      <c r="H6" s="204">
        <v>8</v>
      </c>
      <c r="I6" s="187"/>
      <c r="J6" s="207" t="s">
        <v>634</v>
      </c>
      <c r="K6" s="6"/>
      <c r="L6" s="213" t="s">
        <v>665</v>
      </c>
      <c r="M6" s="219">
        <v>8</v>
      </c>
    </row>
    <row r="7" spans="1:13" x14ac:dyDescent="0.25">
      <c r="A7" s="194" t="s">
        <v>646</v>
      </c>
      <c r="B7" s="196" t="s">
        <v>251</v>
      </c>
      <c r="C7" s="187" t="s">
        <v>187</v>
      </c>
      <c r="D7" s="187" t="s">
        <v>581</v>
      </c>
      <c r="E7" s="198">
        <v>83.4</v>
      </c>
      <c r="F7" s="201">
        <v>9</v>
      </c>
      <c r="G7" s="201">
        <v>4</v>
      </c>
      <c r="H7" s="204">
        <v>-5</v>
      </c>
      <c r="I7" s="187"/>
      <c r="J7" s="207" t="s">
        <v>634</v>
      </c>
      <c r="K7" s="6"/>
      <c r="L7" s="212" t="s">
        <v>666</v>
      </c>
      <c r="M7" s="216" t="s">
        <v>67</v>
      </c>
    </row>
    <row r="8" spans="1:13" x14ac:dyDescent="0.25">
      <c r="A8" s="194" t="s">
        <v>636</v>
      </c>
      <c r="B8" s="196" t="s">
        <v>50</v>
      </c>
      <c r="C8" s="187" t="s">
        <v>187</v>
      </c>
      <c r="D8" s="187" t="s">
        <v>581</v>
      </c>
      <c r="E8" s="198">
        <v>96.6</v>
      </c>
      <c r="F8" s="201">
        <v>10</v>
      </c>
      <c r="G8" s="201">
        <v>8</v>
      </c>
      <c r="H8" s="204">
        <v>-2</v>
      </c>
      <c r="I8" s="187"/>
      <c r="J8" s="207" t="s">
        <v>634</v>
      </c>
      <c r="K8" s="6"/>
      <c r="L8" s="213" t="s">
        <v>667</v>
      </c>
      <c r="M8" s="217">
        <v>5</v>
      </c>
    </row>
    <row r="9" spans="1:13" ht="15.75" thickBot="1" x14ac:dyDescent="0.3">
      <c r="A9" s="194" t="s">
        <v>635</v>
      </c>
      <c r="B9" s="196" t="s">
        <v>61</v>
      </c>
      <c r="C9" s="187" t="s">
        <v>191</v>
      </c>
      <c r="D9" s="187" t="s">
        <v>553</v>
      </c>
      <c r="E9" s="198">
        <v>3.9</v>
      </c>
      <c r="F9" s="201">
        <v>1</v>
      </c>
      <c r="G9" s="201">
        <v>2</v>
      </c>
      <c r="H9" s="204">
        <v>1</v>
      </c>
      <c r="I9" s="187" t="s">
        <v>633</v>
      </c>
      <c r="J9" s="207" t="s">
        <v>634</v>
      </c>
      <c r="K9" s="6"/>
      <c r="L9" s="214" t="s">
        <v>668</v>
      </c>
      <c r="M9" s="220">
        <v>7</v>
      </c>
    </row>
    <row r="10" spans="1:13" x14ac:dyDescent="0.25">
      <c r="A10" s="194" t="s">
        <v>630</v>
      </c>
      <c r="B10" s="196" t="s">
        <v>380</v>
      </c>
      <c r="C10" s="187" t="s">
        <v>191</v>
      </c>
      <c r="D10" s="187" t="s">
        <v>583</v>
      </c>
      <c r="E10" s="198">
        <v>67.099999999999994</v>
      </c>
      <c r="F10" s="201">
        <v>7</v>
      </c>
      <c r="G10" s="201">
        <v>8</v>
      </c>
      <c r="H10" s="204">
        <v>1</v>
      </c>
      <c r="I10" s="187"/>
      <c r="J10" s="207" t="s">
        <v>631</v>
      </c>
      <c r="K10" s="6"/>
      <c r="L10" s="6"/>
      <c r="M10" s="6"/>
    </row>
    <row r="11" spans="1:13" x14ac:dyDescent="0.25">
      <c r="A11" s="194" t="s">
        <v>630</v>
      </c>
      <c r="B11" s="196" t="s">
        <v>378</v>
      </c>
      <c r="C11" s="187" t="s">
        <v>191</v>
      </c>
      <c r="D11" s="187" t="s">
        <v>573</v>
      </c>
      <c r="E11" s="198">
        <v>81.5</v>
      </c>
      <c r="F11" s="201">
        <v>9</v>
      </c>
      <c r="G11" s="201">
        <v>8</v>
      </c>
      <c r="H11" s="204">
        <v>-1</v>
      </c>
      <c r="I11" s="187"/>
      <c r="J11" s="207" t="s">
        <v>631</v>
      </c>
      <c r="K11" s="6"/>
      <c r="L11" s="221" t="s">
        <v>669</v>
      </c>
      <c r="M11" s="221" t="s">
        <v>652</v>
      </c>
    </row>
    <row r="12" spans="1:13" x14ac:dyDescent="0.25">
      <c r="A12" s="194" t="s">
        <v>642</v>
      </c>
      <c r="B12" s="196" t="s">
        <v>147</v>
      </c>
      <c r="C12" s="187" t="s">
        <v>191</v>
      </c>
      <c r="D12" s="187" t="s">
        <v>555</v>
      </c>
      <c r="E12" s="198">
        <v>110.9</v>
      </c>
      <c r="F12" s="201">
        <v>12</v>
      </c>
      <c r="G12" s="201">
        <v>5</v>
      </c>
      <c r="H12" s="204">
        <v>-7</v>
      </c>
      <c r="I12" s="187"/>
      <c r="J12" s="207" t="s">
        <v>634</v>
      </c>
      <c r="K12" s="6"/>
      <c r="L12" s="221" t="s">
        <v>670</v>
      </c>
      <c r="M12" s="221" t="s">
        <v>361</v>
      </c>
    </row>
    <row r="13" spans="1:13" ht="23.25" x14ac:dyDescent="0.25">
      <c r="A13" s="194" t="s">
        <v>649</v>
      </c>
      <c r="B13" s="196" t="s">
        <v>152</v>
      </c>
      <c r="C13" s="187" t="s">
        <v>191</v>
      </c>
      <c r="D13" s="187" t="s">
        <v>559</v>
      </c>
      <c r="E13" s="198">
        <v>144.80000000000001</v>
      </c>
      <c r="F13" s="201">
        <v>15</v>
      </c>
      <c r="G13" s="201">
        <v>9</v>
      </c>
      <c r="H13" s="204">
        <v>-6</v>
      </c>
      <c r="I13" s="187"/>
      <c r="J13" s="207" t="s">
        <v>634</v>
      </c>
      <c r="K13" s="6"/>
      <c r="L13" s="221" t="s">
        <v>671</v>
      </c>
      <c r="M13" s="222" t="s">
        <v>250</v>
      </c>
    </row>
    <row r="14" spans="1:13" x14ac:dyDescent="0.25">
      <c r="A14" s="194" t="s">
        <v>630</v>
      </c>
      <c r="B14" s="196" t="s">
        <v>379</v>
      </c>
      <c r="C14" s="187" t="s">
        <v>191</v>
      </c>
      <c r="D14" s="187" t="s">
        <v>567</v>
      </c>
      <c r="E14" s="198"/>
      <c r="F14" s="201"/>
      <c r="G14" s="201">
        <v>8</v>
      </c>
      <c r="H14" s="204"/>
      <c r="I14" s="187"/>
      <c r="J14" s="207" t="s">
        <v>631</v>
      </c>
      <c r="K14" s="6"/>
      <c r="L14" s="6"/>
      <c r="M14" s="6"/>
    </row>
    <row r="15" spans="1:13" x14ac:dyDescent="0.25">
      <c r="A15" s="194" t="s">
        <v>637</v>
      </c>
      <c r="B15" s="196" t="s">
        <v>252</v>
      </c>
      <c r="C15" s="187" t="s">
        <v>191</v>
      </c>
      <c r="D15" s="187" t="s">
        <v>583</v>
      </c>
      <c r="E15" s="198"/>
      <c r="F15" s="201"/>
      <c r="G15" s="201">
        <v>6</v>
      </c>
      <c r="H15" s="204"/>
      <c r="I15" s="187"/>
      <c r="J15" s="207" t="s">
        <v>634</v>
      </c>
      <c r="K15" s="6"/>
      <c r="L15" s="6"/>
      <c r="M15" s="6"/>
    </row>
    <row r="16" spans="1:13" x14ac:dyDescent="0.25">
      <c r="A16" s="194" t="s">
        <v>643</v>
      </c>
      <c r="B16" s="196" t="s">
        <v>34</v>
      </c>
      <c r="C16" s="187" t="s">
        <v>576</v>
      </c>
      <c r="D16" s="187" t="s">
        <v>555</v>
      </c>
      <c r="E16" s="198">
        <v>114.8</v>
      </c>
      <c r="F16" s="201">
        <v>12</v>
      </c>
      <c r="G16" s="201">
        <v>2</v>
      </c>
      <c r="H16" s="204">
        <v>-10</v>
      </c>
      <c r="I16" s="187"/>
      <c r="J16" s="207" t="s">
        <v>634</v>
      </c>
      <c r="K16" s="6"/>
      <c r="L16" s="6"/>
      <c r="M16" s="6"/>
    </row>
    <row r="17" spans="1:13" x14ac:dyDescent="0.25">
      <c r="A17" s="194" t="s">
        <v>641</v>
      </c>
      <c r="B17" s="196" t="s">
        <v>104</v>
      </c>
      <c r="C17" s="187" t="s">
        <v>576</v>
      </c>
      <c r="D17" s="187" t="s">
        <v>558</v>
      </c>
      <c r="E17" s="198">
        <v>134.80000000000001</v>
      </c>
      <c r="F17" s="201">
        <v>14</v>
      </c>
      <c r="G17" s="201">
        <v>14</v>
      </c>
      <c r="H17" s="204">
        <v>0</v>
      </c>
      <c r="I17" s="187"/>
      <c r="J17" s="207" t="s">
        <v>634</v>
      </c>
      <c r="K17" s="6"/>
      <c r="L17" s="6"/>
      <c r="M17" s="6"/>
    </row>
    <row r="18" spans="1:13" x14ac:dyDescent="0.25">
      <c r="A18" s="194" t="s">
        <v>630</v>
      </c>
      <c r="B18" s="196" t="s">
        <v>381</v>
      </c>
      <c r="C18" s="187" t="s">
        <v>673</v>
      </c>
      <c r="D18" s="187" t="s">
        <v>559</v>
      </c>
      <c r="E18" s="198"/>
      <c r="F18" s="201"/>
      <c r="G18" s="201">
        <v>8</v>
      </c>
      <c r="H18" s="204"/>
      <c r="I18" s="187"/>
      <c r="J18" s="207" t="s">
        <v>631</v>
      </c>
      <c r="K18" s="6"/>
      <c r="L18" s="6"/>
      <c r="M18" s="6"/>
    </row>
    <row r="19" spans="1:13" x14ac:dyDescent="0.25">
      <c r="A19" s="194" t="s">
        <v>630</v>
      </c>
      <c r="B19" s="196" t="s">
        <v>221</v>
      </c>
      <c r="C19" s="187" t="s">
        <v>589</v>
      </c>
      <c r="D19" s="187" t="s">
        <v>565</v>
      </c>
      <c r="E19" s="198"/>
      <c r="F19" s="201"/>
      <c r="G19" s="201">
        <v>8</v>
      </c>
      <c r="H19" s="204"/>
      <c r="I19" s="187"/>
      <c r="J19" s="207" t="s">
        <v>631</v>
      </c>
      <c r="K19" s="6"/>
      <c r="L19" s="6"/>
      <c r="M19" s="6"/>
    </row>
    <row r="20" spans="1:13" ht="15.75" thickBot="1" x14ac:dyDescent="0.3">
      <c r="A20" s="223" t="s">
        <v>630</v>
      </c>
      <c r="B20" s="224" t="s">
        <v>382</v>
      </c>
      <c r="C20" s="190" t="s">
        <v>589</v>
      </c>
      <c r="D20" s="188" t="s">
        <v>564</v>
      </c>
      <c r="E20" s="233"/>
      <c r="F20" s="202"/>
      <c r="G20" s="202">
        <v>8</v>
      </c>
      <c r="H20" s="205"/>
      <c r="I20" s="190"/>
      <c r="J20" s="208" t="s">
        <v>631</v>
      </c>
      <c r="K20" s="6"/>
      <c r="L20" s="6"/>
      <c r="M20" s="6"/>
    </row>
    <row r="21" spans="1:13" ht="20.100000000000001" customHeight="1" x14ac:dyDescent="0.25">
      <c r="A21" s="211" t="s">
        <v>672</v>
      </c>
      <c r="B21" s="215"/>
      <c r="C21" s="6"/>
      <c r="H21" s="6"/>
      <c r="I21" s="6"/>
      <c r="J21" s="6"/>
      <c r="K21" s="6"/>
      <c r="L21" s="6"/>
      <c r="M21" s="6"/>
    </row>
    <row r="22" spans="1:13" x14ac:dyDescent="0.25">
      <c r="A22" s="225" t="s">
        <v>575</v>
      </c>
      <c r="B22" s="216">
        <v>2</v>
      </c>
      <c r="C22" s="6"/>
      <c r="H22" s="6"/>
      <c r="I22" s="6"/>
      <c r="J22" s="6"/>
      <c r="K22" s="6"/>
      <c r="L22" s="6"/>
      <c r="M22" s="6"/>
    </row>
    <row r="23" spans="1:13" x14ac:dyDescent="0.25">
      <c r="A23" s="226" t="s">
        <v>187</v>
      </c>
      <c r="B23" s="217">
        <v>4</v>
      </c>
      <c r="C23" s="6"/>
      <c r="H23" s="6"/>
      <c r="I23" s="6"/>
      <c r="J23" s="6"/>
      <c r="K23" s="6"/>
      <c r="L23" s="6"/>
      <c r="M23" s="6"/>
    </row>
    <row r="24" spans="1:13" x14ac:dyDescent="0.25">
      <c r="A24" s="227" t="s">
        <v>191</v>
      </c>
      <c r="B24" s="216">
        <v>7</v>
      </c>
      <c r="C24" s="6"/>
      <c r="H24" s="6"/>
      <c r="I24" s="6"/>
      <c r="J24" s="6"/>
      <c r="K24" s="6"/>
      <c r="L24" s="6"/>
      <c r="M24" s="6"/>
    </row>
    <row r="25" spans="1:13" x14ac:dyDescent="0.25">
      <c r="A25" s="228" t="s">
        <v>576</v>
      </c>
      <c r="B25" s="217">
        <v>2</v>
      </c>
      <c r="C25" s="6"/>
      <c r="H25" s="6"/>
      <c r="I25" s="6"/>
      <c r="J25" s="6"/>
      <c r="K25" s="6"/>
      <c r="L25" s="6"/>
      <c r="M25" s="6"/>
    </row>
    <row r="26" spans="1:13" x14ac:dyDescent="0.25">
      <c r="A26" s="229" t="s">
        <v>673</v>
      </c>
      <c r="B26" s="216">
        <v>1</v>
      </c>
      <c r="C26" s="6"/>
      <c r="H26" s="6"/>
      <c r="I26" s="6"/>
      <c r="J26" s="6"/>
      <c r="K26" s="6"/>
      <c r="L26" s="6"/>
      <c r="M26" s="6"/>
    </row>
    <row r="27" spans="1:13" x14ac:dyDescent="0.25">
      <c r="A27" s="230" t="s">
        <v>589</v>
      </c>
      <c r="B27" s="217">
        <v>2</v>
      </c>
      <c r="C27" s="6"/>
      <c r="H27" s="6"/>
      <c r="I27" s="6"/>
      <c r="J27" s="6"/>
      <c r="K27" s="6"/>
      <c r="L27" s="6"/>
      <c r="M27" s="6"/>
    </row>
    <row r="28" spans="1:13" ht="15.75" thickBot="1" x14ac:dyDescent="0.3">
      <c r="A28" s="231" t="s">
        <v>674</v>
      </c>
      <c r="B28" s="232">
        <f>SUM(B22:B27)</f>
        <v>18</v>
      </c>
      <c r="C28" s="6"/>
      <c r="H28" s="6"/>
      <c r="I28" s="6"/>
      <c r="J28" s="6"/>
      <c r="K28" s="6"/>
      <c r="L28" s="6"/>
      <c r="M28" s="6"/>
    </row>
    <row r="29" spans="1:13" x14ac:dyDescent="0.25">
      <c r="A29" s="6"/>
      <c r="B29" s="6"/>
      <c r="C29" s="6"/>
      <c r="D29" s="6"/>
      <c r="E29" s="6"/>
      <c r="F29" s="6"/>
      <c r="G29" s="6"/>
      <c r="H29" s="6"/>
      <c r="I29" s="6"/>
      <c r="J29" s="6"/>
      <c r="K29" s="6"/>
      <c r="L29" s="6"/>
      <c r="M29" s="6"/>
    </row>
    <row r="30" spans="1:13" ht="20.100000000000001" customHeight="1" thickBot="1" x14ac:dyDescent="0.3">
      <c r="A30" s="209" t="s">
        <v>675</v>
      </c>
      <c r="B30" s="209"/>
      <c r="C30" s="209"/>
      <c r="D30" s="209"/>
      <c r="E30" s="209"/>
      <c r="F30" s="209"/>
      <c r="G30" s="209"/>
      <c r="H30" s="209"/>
      <c r="I30" s="209"/>
      <c r="J30" s="209"/>
      <c r="K30" s="6"/>
      <c r="L30" s="6"/>
      <c r="M30" s="6"/>
    </row>
    <row r="31" spans="1:13" ht="30" customHeight="1" x14ac:dyDescent="0.25">
      <c r="A31" s="235" t="s">
        <v>622</v>
      </c>
      <c r="B31" s="234" t="s">
        <v>676</v>
      </c>
      <c r="C31" s="234" t="s">
        <v>186</v>
      </c>
      <c r="D31" s="234" t="s">
        <v>545</v>
      </c>
      <c r="E31" s="234" t="s">
        <v>547</v>
      </c>
      <c r="F31" s="234" t="s">
        <v>677</v>
      </c>
      <c r="G31" s="234" t="s">
        <v>678</v>
      </c>
      <c r="H31" s="234" t="s">
        <v>679</v>
      </c>
      <c r="I31" s="234" t="s">
        <v>680</v>
      </c>
      <c r="J31" s="236" t="s">
        <v>626</v>
      </c>
      <c r="K31" s="6"/>
      <c r="L31" s="6"/>
      <c r="M31" s="6"/>
    </row>
    <row r="32" spans="1:13" x14ac:dyDescent="0.25">
      <c r="A32" s="237" t="str">
        <f>IF($B32="","",IFERROR(_xlfn.XLOOKUP($B32,$B$3:$B$20,$A$3:$A$20),""))</f>
        <v/>
      </c>
      <c r="B32" s="239"/>
      <c r="C32" s="184" t="str">
        <f>IF($B32="","",IFERROR(_xlfn.XLOOKUP($B32,$B$3:$B$20,$C$3:$C$20),""))</f>
        <v/>
      </c>
      <c r="D32" s="185" t="str">
        <f>IF($B32="","",IFERROR(_xlfn.XLOOKUP($B32,$B$3:$B$20,$D$3:$D$20),""))</f>
        <v/>
      </c>
      <c r="E32" s="197" t="str">
        <f>IF($B32="","",IFERROR(_xlfn.XLOOKUP($B32,$B$3:$B$20,$E$3:$E$20),""))</f>
        <v/>
      </c>
      <c r="F32" s="200" t="str">
        <f>IF($B32="","",IFERROR(_xlfn.XLOOKUP($B32,$B$3:$B$20,$F$3:$F$20),""))</f>
        <v/>
      </c>
      <c r="G32" s="200" t="str">
        <f>IF($B32="","",IFERROR(_xlfn.XLOOKUP($B32,$B$3:$B$20,$G$3:$G$20),""))</f>
        <v/>
      </c>
      <c r="H32" s="200" t="str">
        <f>IF($B32="","",IF(OR($B33="",$G32&lt;&gt;$G33),$G32,IF($G32=1,IF($E32&lt;=$E33,1,2),IF($E32&lt;=$E33,MAX(1,$G32-1),$G32))))</f>
        <v/>
      </c>
      <c r="I32" s="185" t="str">
        <f>IF($H32="","","Round "&amp;$H32)</f>
        <v/>
      </c>
      <c r="J32" s="241" t="str">
        <f>IF(OR($B32="",$F32=""),"",$F32-$H32)</f>
        <v/>
      </c>
      <c r="K32" s="6"/>
      <c r="L32" s="6"/>
      <c r="M32" s="6"/>
    </row>
    <row r="33" spans="1:13" x14ac:dyDescent="0.25">
      <c r="A33" s="238" t="str">
        <f>IF($B33="","",IFERROR(_xlfn.XLOOKUP($B33,$B$3:$B$20,$A$3:$A$20),""))</f>
        <v/>
      </c>
      <c r="B33" s="240"/>
      <c r="C33" s="186" t="str">
        <f>IF($B33="","",IFERROR(_xlfn.XLOOKUP($B33,$B$3:$B$20,$C$3:$C$20),""))</f>
        <v/>
      </c>
      <c r="D33" s="187" t="str">
        <f>IF($B33="","",IFERROR(_xlfn.XLOOKUP($B33,$B$3:$B$20,$D$3:$D$20),""))</f>
        <v/>
      </c>
      <c r="E33" s="198" t="str">
        <f>IF($B33="","",IFERROR(_xlfn.XLOOKUP($B33,$B$3:$B$20,$E$3:$E$20),""))</f>
        <v/>
      </c>
      <c r="F33" s="201" t="str">
        <f>IF($B33="","",IFERROR(_xlfn.XLOOKUP($B33,$B$3:$B$20,$F$3:$F$20),""))</f>
        <v/>
      </c>
      <c r="G33" s="201" t="str">
        <f>IF($B33="","",IFERROR(_xlfn.XLOOKUP($B33,$B$3:$B$20,$G$3:$G$20),""))</f>
        <v/>
      </c>
      <c r="H33" s="201" t="str">
        <f>IF($B33="","",IF(OR($B32="",$G33&lt;&gt;$G32),$G33,IF($G33=1,IF($E33&lt;=$E32,1,2),IF($E33&lt;=$E32,MAX(1,$G33-1),$G33))))</f>
        <v/>
      </c>
      <c r="I33" s="187" t="str">
        <f>IF($H33="","","Round "&amp;$H33)</f>
        <v/>
      </c>
      <c r="J33" s="242" t="str">
        <f>IF(OR($B33="",$F33=""),"",$F33-$H33)</f>
        <v/>
      </c>
      <c r="K33" s="6"/>
      <c r="L33" s="6"/>
      <c r="M33" s="6"/>
    </row>
    <row r="34" spans="1:13" ht="15.75" thickBot="1" x14ac:dyDescent="0.3">
      <c r="A34" s="248" t="s">
        <v>681</v>
      </c>
      <c r="B34" s="243"/>
      <c r="C34" s="244"/>
      <c r="D34" s="244"/>
      <c r="E34" s="244"/>
      <c r="F34" s="244"/>
      <c r="G34" s="245" t="str">
        <f>IF(COUNT($G$32:$G$33)=0,"",SUM($G$32:$G$33))</f>
        <v/>
      </c>
      <c r="H34" s="245" t="str">
        <f>IF(COUNT($H$32:$H$33)=0,"",SUM($H$32:$H$33))</f>
        <v/>
      </c>
      <c r="I34" s="246"/>
      <c r="J34" s="247" t="str">
        <f>IF(COUNT($J$32:$J$33)=0,"",SUM($J$32:$J$33))</f>
        <v/>
      </c>
      <c r="K34" s="6"/>
      <c r="L34" s="6"/>
      <c r="M34" s="6"/>
    </row>
    <row r="35" spans="1:13" ht="15.75" thickBot="1" x14ac:dyDescent="0.3">
      <c r="A35" s="6"/>
      <c r="B35" s="6"/>
      <c r="C35" s="6"/>
      <c r="D35" s="6"/>
      <c r="E35" s="6"/>
      <c r="F35" s="6"/>
      <c r="G35" s="6"/>
      <c r="H35" s="6"/>
      <c r="I35" s="6"/>
      <c r="J35" s="6"/>
      <c r="K35" s="6"/>
      <c r="L35" s="6"/>
      <c r="M35" s="6"/>
    </row>
    <row r="36" spans="1:13" ht="20.100000000000001" customHeight="1" x14ac:dyDescent="0.25">
      <c r="A36" s="211" t="s">
        <v>682</v>
      </c>
      <c r="B36" s="210"/>
      <c r="C36" s="210"/>
      <c r="D36" s="210"/>
      <c r="E36" s="210"/>
      <c r="F36" s="210"/>
      <c r="G36" s="210"/>
      <c r="H36" s="210"/>
      <c r="I36" s="210"/>
      <c r="J36" s="215"/>
      <c r="K36" s="6"/>
      <c r="L36" s="6"/>
      <c r="M36" s="6"/>
    </row>
    <row r="37" spans="1:13" ht="30" customHeight="1" x14ac:dyDescent="0.25">
      <c r="A37" s="252" t="s">
        <v>683</v>
      </c>
      <c r="B37" s="249"/>
      <c r="C37" s="249"/>
      <c r="D37" s="249"/>
      <c r="E37" s="249"/>
      <c r="F37" s="249"/>
      <c r="G37" s="249"/>
      <c r="H37" s="249"/>
      <c r="I37" s="249"/>
      <c r="J37" s="255"/>
      <c r="K37" s="6"/>
      <c r="L37" s="6"/>
      <c r="M37" s="6"/>
    </row>
    <row r="38" spans="1:13" ht="30" customHeight="1" x14ac:dyDescent="0.25">
      <c r="A38" s="253" t="s">
        <v>684</v>
      </c>
      <c r="B38" s="250"/>
      <c r="C38" s="250"/>
      <c r="D38" s="250"/>
      <c r="E38" s="250"/>
      <c r="F38" s="250"/>
      <c r="G38" s="250"/>
      <c r="H38" s="250"/>
      <c r="I38" s="250"/>
      <c r="J38" s="256"/>
      <c r="K38" s="6"/>
      <c r="L38" s="6"/>
      <c r="M38" s="6"/>
    </row>
    <row r="39" spans="1:13" ht="30" customHeight="1" x14ac:dyDescent="0.25">
      <c r="A39" s="252" t="s">
        <v>685</v>
      </c>
      <c r="B39" s="249"/>
      <c r="C39" s="249"/>
      <c r="D39" s="249"/>
      <c r="E39" s="249"/>
      <c r="F39" s="249"/>
      <c r="G39" s="249"/>
      <c r="H39" s="249"/>
      <c r="I39" s="249"/>
      <c r="J39" s="255"/>
      <c r="K39" s="6"/>
      <c r="L39" s="6"/>
      <c r="M39" s="6"/>
    </row>
    <row r="40" spans="1:13" ht="15.95" customHeight="1" x14ac:dyDescent="0.25">
      <c r="A40" s="253" t="str" cm="1">
        <f t="array" ref="A40">"Rounds traded away: "&amp;_xlfn.LET(_xlpm.sl,MATCH(TRUE,EXACT('Draft Order-Traded Picks'!$B$2:$K$2,$M$13),0),_xlpm.g,INDEX('Draft Order-Traded Picks'!$B$3:$K$18,_xlfn.SEQUENCE(16),_xlpm.sl),IF(SUMPRODUCT(--(_xlpm.g&lt;&gt;""))=0,"none",_xlfn.TEXTJOIN(", ",TRUE,IF(_xlpm.g&lt;&gt;"","Rd "&amp;_xlfn.SEQUENCE(16),""))))</f>
        <v>Rounds traded away: none</v>
      </c>
      <c r="B40" s="250"/>
      <c r="C40" s="250"/>
      <c r="D40" s="250"/>
      <c r="E40" s="250"/>
      <c r="F40" s="250"/>
      <c r="G40" s="250"/>
      <c r="H40" s="250"/>
      <c r="I40" s="250"/>
      <c r="J40" s="256"/>
      <c r="K40" s="6"/>
      <c r="L40" s="6"/>
      <c r="M40" s="6"/>
    </row>
    <row r="41" spans="1:13" ht="15.95" customHeight="1" x14ac:dyDescent="0.25">
      <c r="A41" s="252" t="str" cm="1">
        <f t="array" ref="A41">"Rounds acquired: "&amp;_xlfn.LET(_xlpm.m,MMULT(--EXACT('Draft Order-Traded Picks'!$B$3:$K$18,$M$12),_xlfn.SEQUENCE(10,1,1,0)),IF(SUM(_xlpm.m)=0,"none",_xlfn.TEXTJOIN(", ",TRUE,IF(_xlpm.m&gt;0,"Rd "&amp;_xlfn.SEQUENCE(16)&amp;IF(_xlpm.m&gt;1," (x"&amp;_xlpm.m&amp;")",""),""))&amp;"  -  "&amp;SUM(_xlpm.m)&amp;" pick(s) total"))</f>
        <v>Rounds acquired: none</v>
      </c>
      <c r="B41" s="249"/>
      <c r="C41" s="249"/>
      <c r="D41" s="249"/>
      <c r="E41" s="249"/>
      <c r="F41" s="249"/>
      <c r="G41" s="249"/>
      <c r="H41" s="249"/>
      <c r="I41" s="249"/>
      <c r="J41" s="255"/>
      <c r="K41" s="6"/>
      <c r="L41" s="6"/>
      <c r="M41" s="6"/>
    </row>
    <row r="42" spans="1:13" ht="30" customHeight="1" thickBot="1" x14ac:dyDescent="0.3">
      <c r="A42" s="254" t="s">
        <v>696</v>
      </c>
      <c r="B42" s="251"/>
      <c r="C42" s="251"/>
      <c r="D42" s="251"/>
      <c r="E42" s="251"/>
      <c r="F42" s="251"/>
      <c r="G42" s="251"/>
      <c r="H42" s="251"/>
      <c r="I42" s="251"/>
      <c r="J42" s="257"/>
      <c r="K42" s="6"/>
      <c r="L42" s="6"/>
      <c r="M42" s="6"/>
    </row>
  </sheetData>
  <mergeCells count="11">
    <mergeCell ref="A37:J37"/>
    <mergeCell ref="A38:J38"/>
    <mergeCell ref="A39:J39"/>
    <mergeCell ref="A40:J40"/>
    <mergeCell ref="A41:J41"/>
    <mergeCell ref="A42:J42"/>
    <mergeCell ref="A1:J1"/>
    <mergeCell ref="L2:M2"/>
    <mergeCell ref="A21:B21"/>
    <mergeCell ref="A30:J30"/>
    <mergeCell ref="A36:J36"/>
  </mergeCells>
  <conditionalFormatting sqref="A3:J20">
    <cfRule type="expression" dxfId="107" priority="1">
      <formula>AND($B3&lt;&gt;"",MOD(ROW(),2)=0)</formula>
    </cfRule>
  </conditionalFormatting>
  <conditionalFormatting sqref="C3:C20">
    <cfRule type="containsText" dxfId="106" priority="2" operator="containsText" text="QB">
      <formula>NOT(ISERROR(SEARCH("QB",C3)))</formula>
    </cfRule>
  </conditionalFormatting>
  <conditionalFormatting sqref="C3:C20">
    <cfRule type="containsText" dxfId="105" priority="3" operator="containsText" text="RB">
      <formula>NOT(ISERROR(SEARCH("RB",C3)))</formula>
    </cfRule>
  </conditionalFormatting>
  <conditionalFormatting sqref="C3:C20">
    <cfRule type="containsText" dxfId="104" priority="4" operator="containsText" text="WR">
      <formula>NOT(ISERROR(SEARCH("WR",C3)))</formula>
    </cfRule>
  </conditionalFormatting>
  <conditionalFormatting sqref="C3:C20">
    <cfRule type="containsText" dxfId="103" priority="5" operator="containsText" text="TE">
      <formula>NOT(ISERROR(SEARCH("TE",C3)))</formula>
    </cfRule>
  </conditionalFormatting>
  <conditionalFormatting sqref="C3:C20">
    <cfRule type="containsText" dxfId="102" priority="6" operator="containsText" text="K">
      <formula>NOT(ISERROR(SEARCH("K",C3)))</formula>
    </cfRule>
  </conditionalFormatting>
  <conditionalFormatting sqref="C3:C20">
    <cfRule type="containsText" dxfId="101" priority="7" operator="containsText" text="DEF">
      <formula>NOT(ISERROR(SEARCH("DEF",C3)))</formula>
    </cfRule>
  </conditionalFormatting>
  <conditionalFormatting sqref="C32:C33">
    <cfRule type="containsText" dxfId="100" priority="8" operator="containsText" text="QB">
      <formula>NOT(ISERROR(SEARCH("QB",C32)))</formula>
    </cfRule>
  </conditionalFormatting>
  <conditionalFormatting sqref="C32:C33">
    <cfRule type="containsText" dxfId="99" priority="9" operator="containsText" text="RB">
      <formula>NOT(ISERROR(SEARCH("RB",C32)))</formula>
    </cfRule>
  </conditionalFormatting>
  <conditionalFormatting sqref="C32:C33">
    <cfRule type="containsText" dxfId="98" priority="10" operator="containsText" text="WR">
      <formula>NOT(ISERROR(SEARCH("WR",C32)))</formula>
    </cfRule>
  </conditionalFormatting>
  <conditionalFormatting sqref="C32:C33">
    <cfRule type="containsText" dxfId="97" priority="11" operator="containsText" text="TE">
      <formula>NOT(ISERROR(SEARCH("TE",C32)))</formula>
    </cfRule>
  </conditionalFormatting>
  <conditionalFormatting sqref="C32:C33">
    <cfRule type="containsText" dxfId="96" priority="12" operator="containsText" text="K">
      <formula>NOT(ISERROR(SEARCH("K",C32)))</formula>
    </cfRule>
  </conditionalFormatting>
  <conditionalFormatting sqref="C32:C33">
    <cfRule type="containsText" dxfId="95" priority="13" operator="containsText" text="DEF">
      <formula>NOT(ISERROR(SEARCH("DEF",C32)))</formula>
    </cfRule>
  </conditionalFormatting>
  <conditionalFormatting sqref="I3:I20">
    <cfRule type="expression" dxfId="94" priority="14">
      <formula>$I3&lt;&gt;""</formula>
    </cfRule>
  </conditionalFormatting>
  <conditionalFormatting sqref="J3:J20">
    <cfRule type="expression" dxfId="93" priority="15">
      <formula>ISNUMBER(SEARCH("Waiver",$J3))</formula>
    </cfRule>
  </conditionalFormatting>
  <conditionalFormatting sqref="H32:H33">
    <cfRule type="expression" dxfId="92" priority="20">
      <formula>AND($B32&lt;&gt;"",$H32&lt;&gt;$G32)</formula>
    </cfRule>
  </conditionalFormatting>
  <conditionalFormatting sqref="B32:B33">
    <cfRule type="expression" dxfId="91" priority="21">
      <formula>AND($B32&lt;&gt;"",COUNTIF($B$32:$B$33,$B32)&gt;1)</formula>
    </cfRule>
  </conditionalFormatting>
  <conditionalFormatting sqref="H3:H20">
    <cfRule type="expression" dxfId="15" priority="22">
      <formula>AND(ISNUMBER($H3),$H3&gt;0)</formula>
    </cfRule>
  </conditionalFormatting>
  <conditionalFormatting sqref="H3:H20">
    <cfRule type="expression" dxfId="14" priority="23">
      <formula>AND(ISNUMBER($H3),$H3&lt;0)</formula>
    </cfRule>
  </conditionalFormatting>
  <conditionalFormatting sqref="J32:J34">
    <cfRule type="expression" dxfId="13" priority="24">
      <formula>AND(ISNUMBER($J32),$J32&gt;0)</formula>
    </cfRule>
  </conditionalFormatting>
  <conditionalFormatting sqref="J32:J34">
    <cfRule type="expression" dxfId="12" priority="25">
      <formula>AND(ISNUMBER($J32),$J32&lt;0)</formula>
    </cfRule>
  </conditionalFormatting>
  <dataValidations count="1">
    <dataValidation type="list" allowBlank="1" showInputMessage="1" showErrorMessage="1" errorTitle="Not on this roster" error="Pick a player from this team's roster list above." promptTitle="Keeper selection" prompt="Choose one of this team's players. Keeper cost and value update automatically." sqref="B32:B33" xr:uid="{648737D7-140A-49C3-BEDC-7BE8E226F595}">
      <formula1>$B$3:$B$20</formula1>
    </dataValidation>
  </dataValidations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40B676F-64E3-49FF-85D3-A775193E6D57}">
  <sheetPr>
    <tabColor rgb="FF1F4E79"/>
  </sheetPr>
  <dimension ref="A1:M42"/>
  <sheetViews>
    <sheetView workbookViewId="0">
      <pane ySplit="2" topLeftCell="A3" activePane="bottomLeft" state="frozen"/>
      <selection pane="bottomLeft" sqref="A1:J1"/>
    </sheetView>
  </sheetViews>
  <sheetFormatPr defaultRowHeight="15" x14ac:dyDescent="0.25"/>
  <cols>
    <col min="1" max="1" width="21.5703125" customWidth="1"/>
    <col min="2" max="2" width="41.85546875" customWidth="1"/>
    <col min="3" max="3" width="12.7109375" customWidth="1"/>
    <col min="4" max="4" width="29.140625" customWidth="1"/>
    <col min="5" max="5" width="25.28515625" customWidth="1"/>
    <col min="6" max="6" width="21.5703125" customWidth="1"/>
    <col min="7" max="7" width="25.28515625" customWidth="1"/>
    <col min="8" max="8" width="20.42578125" customWidth="1"/>
    <col min="9" max="9" width="24.140625" customWidth="1"/>
    <col min="10" max="10" width="35.5703125" customWidth="1"/>
    <col min="11" max="11" width="4.5703125" customWidth="1"/>
    <col min="12" max="12" width="38.140625" customWidth="1"/>
    <col min="13" max="13" width="33" customWidth="1"/>
  </cols>
  <sheetData>
    <row r="1" spans="1:13" ht="30" customHeight="1" thickBot="1" x14ac:dyDescent="0.3">
      <c r="A1" s="183" t="s">
        <v>692</v>
      </c>
      <c r="B1" s="183"/>
      <c r="C1" s="183"/>
      <c r="D1" s="183"/>
      <c r="E1" s="183"/>
      <c r="F1" s="183"/>
      <c r="G1" s="183"/>
      <c r="H1" s="183"/>
      <c r="I1" s="183"/>
      <c r="J1" s="183"/>
      <c r="K1" s="6"/>
      <c r="L1" s="6"/>
      <c r="M1" s="6"/>
    </row>
    <row r="2" spans="1:13" ht="42" customHeight="1" x14ac:dyDescent="0.25">
      <c r="A2" s="191" t="s">
        <v>622</v>
      </c>
      <c r="B2" s="189" t="s">
        <v>354</v>
      </c>
      <c r="C2" s="189" t="s">
        <v>186</v>
      </c>
      <c r="D2" s="189" t="s">
        <v>545</v>
      </c>
      <c r="E2" s="189" t="s">
        <v>623</v>
      </c>
      <c r="F2" s="189" t="s">
        <v>624</v>
      </c>
      <c r="G2" s="189" t="s">
        <v>625</v>
      </c>
      <c r="H2" s="189" t="s">
        <v>626</v>
      </c>
      <c r="I2" s="189" t="s">
        <v>627</v>
      </c>
      <c r="J2" s="192" t="s">
        <v>628</v>
      </c>
      <c r="K2" s="6"/>
      <c r="L2" s="211" t="s">
        <v>661</v>
      </c>
      <c r="M2" s="215"/>
    </row>
    <row r="3" spans="1:13" x14ac:dyDescent="0.25">
      <c r="A3" s="193" t="s">
        <v>645</v>
      </c>
      <c r="B3" s="195" t="s">
        <v>184</v>
      </c>
      <c r="C3" s="185" t="s">
        <v>575</v>
      </c>
      <c r="D3" s="185" t="s">
        <v>560</v>
      </c>
      <c r="E3" s="197">
        <v>18.600000000000001</v>
      </c>
      <c r="F3" s="200">
        <v>2</v>
      </c>
      <c r="G3" s="200">
        <v>10</v>
      </c>
      <c r="H3" s="203">
        <v>8</v>
      </c>
      <c r="I3" s="185" t="s">
        <v>633</v>
      </c>
      <c r="J3" s="206" t="s">
        <v>634</v>
      </c>
      <c r="K3" s="6"/>
      <c r="L3" s="212" t="s">
        <v>662</v>
      </c>
      <c r="M3" s="216">
        <v>18</v>
      </c>
    </row>
    <row r="4" spans="1:13" x14ac:dyDescent="0.25">
      <c r="A4" s="194" t="s">
        <v>632</v>
      </c>
      <c r="B4" s="196" t="s">
        <v>236</v>
      </c>
      <c r="C4" s="187" t="s">
        <v>187</v>
      </c>
      <c r="D4" s="187" t="s">
        <v>562</v>
      </c>
      <c r="E4" s="198">
        <v>14.9</v>
      </c>
      <c r="F4" s="201">
        <v>2</v>
      </c>
      <c r="G4" s="201">
        <v>1</v>
      </c>
      <c r="H4" s="204">
        <v>-1</v>
      </c>
      <c r="I4" s="187"/>
      <c r="J4" s="207" t="s">
        <v>634</v>
      </c>
      <c r="K4" s="6"/>
      <c r="L4" s="213" t="s">
        <v>663</v>
      </c>
      <c r="M4" s="217">
        <v>2</v>
      </c>
    </row>
    <row r="5" spans="1:13" x14ac:dyDescent="0.25">
      <c r="A5" s="194" t="s">
        <v>635</v>
      </c>
      <c r="B5" s="196" t="s">
        <v>189</v>
      </c>
      <c r="C5" s="187" t="s">
        <v>187</v>
      </c>
      <c r="D5" s="187" t="s">
        <v>566</v>
      </c>
      <c r="E5" s="198">
        <v>20.7</v>
      </c>
      <c r="F5" s="201">
        <v>3</v>
      </c>
      <c r="G5" s="201">
        <v>3</v>
      </c>
      <c r="H5" s="204">
        <v>0</v>
      </c>
      <c r="I5" s="187"/>
      <c r="J5" s="207" t="s">
        <v>647</v>
      </c>
      <c r="K5" s="6"/>
      <c r="L5" s="212" t="s">
        <v>664</v>
      </c>
      <c r="M5" s="218">
        <v>49.408333333333303</v>
      </c>
    </row>
    <row r="6" spans="1:13" x14ac:dyDescent="0.25">
      <c r="A6" s="194" t="s">
        <v>650</v>
      </c>
      <c r="B6" s="196" t="s">
        <v>237</v>
      </c>
      <c r="C6" s="187" t="s">
        <v>187</v>
      </c>
      <c r="D6" s="187" t="s">
        <v>582</v>
      </c>
      <c r="E6" s="198">
        <v>51.4</v>
      </c>
      <c r="F6" s="201">
        <v>6</v>
      </c>
      <c r="G6" s="201">
        <v>10</v>
      </c>
      <c r="H6" s="204">
        <v>4</v>
      </c>
      <c r="I6" s="187"/>
      <c r="J6" s="207" t="s">
        <v>634</v>
      </c>
      <c r="K6" s="6"/>
      <c r="L6" s="213" t="s">
        <v>665</v>
      </c>
      <c r="M6" s="219">
        <v>8</v>
      </c>
    </row>
    <row r="7" spans="1:13" x14ac:dyDescent="0.25">
      <c r="A7" s="194" t="s">
        <v>630</v>
      </c>
      <c r="B7" s="196" t="s">
        <v>216</v>
      </c>
      <c r="C7" s="187" t="s">
        <v>187</v>
      </c>
      <c r="D7" s="187" t="s">
        <v>583</v>
      </c>
      <c r="E7" s="198">
        <v>54.2</v>
      </c>
      <c r="F7" s="201">
        <v>6</v>
      </c>
      <c r="G7" s="201">
        <v>8</v>
      </c>
      <c r="H7" s="204">
        <v>2</v>
      </c>
      <c r="I7" s="187"/>
      <c r="J7" s="207" t="s">
        <v>631</v>
      </c>
      <c r="K7" s="6"/>
      <c r="L7" s="212" t="s">
        <v>666</v>
      </c>
      <c r="M7" s="216" t="s">
        <v>184</v>
      </c>
    </row>
    <row r="8" spans="1:13" x14ac:dyDescent="0.25">
      <c r="A8" s="194" t="s">
        <v>636</v>
      </c>
      <c r="B8" s="196" t="s">
        <v>145</v>
      </c>
      <c r="C8" s="187" t="s">
        <v>187</v>
      </c>
      <c r="D8" s="187" t="s">
        <v>570</v>
      </c>
      <c r="E8" s="198">
        <v>149.69999999999999</v>
      </c>
      <c r="F8" s="201">
        <v>15</v>
      </c>
      <c r="G8" s="201">
        <v>8</v>
      </c>
      <c r="H8" s="204">
        <v>-7</v>
      </c>
      <c r="I8" s="187"/>
      <c r="J8" s="207" t="s">
        <v>634</v>
      </c>
      <c r="K8" s="6"/>
      <c r="L8" s="213" t="s">
        <v>667</v>
      </c>
      <c r="M8" s="217">
        <v>6</v>
      </c>
    </row>
    <row r="9" spans="1:13" ht="15.75" thickBot="1" x14ac:dyDescent="0.3">
      <c r="A9" s="194" t="s">
        <v>630</v>
      </c>
      <c r="B9" s="196" t="s">
        <v>211</v>
      </c>
      <c r="C9" s="187" t="s">
        <v>187</v>
      </c>
      <c r="D9" s="187" t="s">
        <v>584</v>
      </c>
      <c r="E9" s="198"/>
      <c r="F9" s="201"/>
      <c r="G9" s="201">
        <v>8</v>
      </c>
      <c r="H9" s="204"/>
      <c r="I9" s="187"/>
      <c r="J9" s="207" t="s">
        <v>631</v>
      </c>
      <c r="K9" s="6"/>
      <c r="L9" s="214" t="s">
        <v>668</v>
      </c>
      <c r="M9" s="220">
        <v>8</v>
      </c>
    </row>
    <row r="10" spans="1:13" x14ac:dyDescent="0.25">
      <c r="A10" s="194" t="s">
        <v>630</v>
      </c>
      <c r="B10" s="196" t="s">
        <v>121</v>
      </c>
      <c r="C10" s="187" t="s">
        <v>187</v>
      </c>
      <c r="D10" s="187" t="s">
        <v>573</v>
      </c>
      <c r="E10" s="198"/>
      <c r="F10" s="201"/>
      <c r="G10" s="201">
        <v>8</v>
      </c>
      <c r="H10" s="204"/>
      <c r="I10" s="187"/>
      <c r="J10" s="207" t="s">
        <v>631</v>
      </c>
      <c r="K10" s="6"/>
      <c r="L10" s="6"/>
      <c r="M10" s="6"/>
    </row>
    <row r="11" spans="1:13" x14ac:dyDescent="0.25">
      <c r="A11" s="194" t="s">
        <v>630</v>
      </c>
      <c r="B11" s="196" t="s">
        <v>111</v>
      </c>
      <c r="C11" s="187" t="s">
        <v>187</v>
      </c>
      <c r="D11" s="187" t="s">
        <v>573</v>
      </c>
      <c r="E11" s="198"/>
      <c r="F11" s="201"/>
      <c r="G11" s="201">
        <v>8</v>
      </c>
      <c r="H11" s="204"/>
      <c r="I11" s="187"/>
      <c r="J11" s="207" t="s">
        <v>631</v>
      </c>
      <c r="K11" s="6"/>
      <c r="L11" s="221" t="s">
        <v>669</v>
      </c>
      <c r="M11" s="221" t="s">
        <v>651</v>
      </c>
    </row>
    <row r="12" spans="1:13" x14ac:dyDescent="0.25">
      <c r="A12" s="194" t="s">
        <v>632</v>
      </c>
      <c r="B12" s="196" t="s">
        <v>193</v>
      </c>
      <c r="C12" s="187" t="s">
        <v>191</v>
      </c>
      <c r="D12" s="187" t="s">
        <v>558</v>
      </c>
      <c r="E12" s="198">
        <v>10.8</v>
      </c>
      <c r="F12" s="201">
        <v>2</v>
      </c>
      <c r="G12" s="201">
        <v>1</v>
      </c>
      <c r="H12" s="204">
        <v>-1</v>
      </c>
      <c r="I12" s="187"/>
      <c r="J12" s="207" t="s">
        <v>647</v>
      </c>
      <c r="K12" s="6"/>
      <c r="L12" s="221" t="s">
        <v>670</v>
      </c>
      <c r="M12" s="221" t="s">
        <v>190</v>
      </c>
    </row>
    <row r="13" spans="1:13" ht="23.25" x14ac:dyDescent="0.25">
      <c r="A13" s="194" t="s">
        <v>649</v>
      </c>
      <c r="B13" s="196" t="s">
        <v>85</v>
      </c>
      <c r="C13" s="187" t="s">
        <v>191</v>
      </c>
      <c r="D13" s="187" t="s">
        <v>568</v>
      </c>
      <c r="E13" s="198">
        <v>22.2</v>
      </c>
      <c r="F13" s="201">
        <v>3</v>
      </c>
      <c r="G13" s="201">
        <v>8</v>
      </c>
      <c r="H13" s="204">
        <v>5</v>
      </c>
      <c r="I13" s="187" t="s">
        <v>633</v>
      </c>
      <c r="J13" s="207" t="s">
        <v>634</v>
      </c>
      <c r="K13" s="6"/>
      <c r="L13" s="221" t="s">
        <v>671</v>
      </c>
      <c r="M13" s="222" t="s">
        <v>244</v>
      </c>
    </row>
    <row r="14" spans="1:13" x14ac:dyDescent="0.25">
      <c r="A14" s="194" t="s">
        <v>637</v>
      </c>
      <c r="B14" s="196" t="s">
        <v>62</v>
      </c>
      <c r="C14" s="187" t="s">
        <v>191</v>
      </c>
      <c r="D14" s="187" t="s">
        <v>581</v>
      </c>
      <c r="E14" s="198">
        <v>46.1</v>
      </c>
      <c r="F14" s="201">
        <v>5</v>
      </c>
      <c r="G14" s="201">
        <v>6</v>
      </c>
      <c r="H14" s="204">
        <v>1</v>
      </c>
      <c r="I14" s="187"/>
      <c r="J14" s="207" t="s">
        <v>634</v>
      </c>
      <c r="K14" s="6"/>
      <c r="L14" s="6"/>
      <c r="M14" s="6"/>
    </row>
    <row r="15" spans="1:13" x14ac:dyDescent="0.25">
      <c r="A15" s="194" t="s">
        <v>639</v>
      </c>
      <c r="B15" s="196" t="s">
        <v>7</v>
      </c>
      <c r="C15" s="187" t="s">
        <v>191</v>
      </c>
      <c r="D15" s="187" t="s">
        <v>579</v>
      </c>
      <c r="E15" s="198">
        <v>93.5</v>
      </c>
      <c r="F15" s="201">
        <v>10</v>
      </c>
      <c r="G15" s="201">
        <v>7</v>
      </c>
      <c r="H15" s="204">
        <v>-3</v>
      </c>
      <c r="I15" s="187"/>
      <c r="J15" s="207" t="s">
        <v>634</v>
      </c>
      <c r="K15" s="6"/>
      <c r="L15" s="6"/>
      <c r="M15" s="6"/>
    </row>
    <row r="16" spans="1:13" x14ac:dyDescent="0.25">
      <c r="A16" s="194" t="s">
        <v>630</v>
      </c>
      <c r="B16" s="196" t="s">
        <v>363</v>
      </c>
      <c r="C16" s="187" t="s">
        <v>191</v>
      </c>
      <c r="D16" s="187" t="s">
        <v>551</v>
      </c>
      <c r="E16" s="198"/>
      <c r="F16" s="201"/>
      <c r="G16" s="201">
        <v>8</v>
      </c>
      <c r="H16" s="204"/>
      <c r="I16" s="187"/>
      <c r="J16" s="207" t="s">
        <v>631</v>
      </c>
      <c r="K16" s="6"/>
      <c r="L16" s="6"/>
      <c r="M16" s="6"/>
    </row>
    <row r="17" spans="1:13" x14ac:dyDescent="0.25">
      <c r="A17" s="194" t="s">
        <v>630</v>
      </c>
      <c r="B17" s="196" t="s">
        <v>223</v>
      </c>
      <c r="C17" s="187" t="s">
        <v>191</v>
      </c>
      <c r="D17" s="187" t="s">
        <v>564</v>
      </c>
      <c r="E17" s="198"/>
      <c r="F17" s="201"/>
      <c r="G17" s="201">
        <v>8</v>
      </c>
      <c r="H17" s="204"/>
      <c r="I17" s="187"/>
      <c r="J17" s="207" t="s">
        <v>631</v>
      </c>
      <c r="K17" s="6"/>
      <c r="L17" s="6"/>
      <c r="M17" s="6"/>
    </row>
    <row r="18" spans="1:13" x14ac:dyDescent="0.25">
      <c r="A18" s="194" t="s">
        <v>643</v>
      </c>
      <c r="B18" s="196" t="s">
        <v>93</v>
      </c>
      <c r="C18" s="187" t="s">
        <v>576</v>
      </c>
      <c r="D18" s="187" t="s">
        <v>573</v>
      </c>
      <c r="E18" s="198">
        <v>31.7</v>
      </c>
      <c r="F18" s="201">
        <v>4</v>
      </c>
      <c r="G18" s="201">
        <v>2</v>
      </c>
      <c r="H18" s="204">
        <v>-2</v>
      </c>
      <c r="I18" s="187"/>
      <c r="J18" s="207" t="s">
        <v>634</v>
      </c>
      <c r="K18" s="6"/>
      <c r="L18" s="6"/>
      <c r="M18" s="6"/>
    </row>
    <row r="19" spans="1:13" x14ac:dyDescent="0.25">
      <c r="A19" s="194" t="s">
        <v>630</v>
      </c>
      <c r="B19" s="196" t="s">
        <v>362</v>
      </c>
      <c r="C19" s="187" t="s">
        <v>576</v>
      </c>
      <c r="D19" s="187" t="s">
        <v>582</v>
      </c>
      <c r="E19" s="198">
        <v>79.099999999999994</v>
      </c>
      <c r="F19" s="201">
        <v>8</v>
      </c>
      <c r="G19" s="201">
        <v>8</v>
      </c>
      <c r="H19" s="204">
        <v>0</v>
      </c>
      <c r="I19" s="187"/>
      <c r="J19" s="207" t="s">
        <v>631</v>
      </c>
      <c r="K19" s="6"/>
      <c r="L19" s="6"/>
      <c r="M19" s="6"/>
    </row>
    <row r="20" spans="1:13" ht="15.75" thickBot="1" x14ac:dyDescent="0.3">
      <c r="A20" s="223" t="s">
        <v>630</v>
      </c>
      <c r="B20" s="224" t="s">
        <v>364</v>
      </c>
      <c r="C20" s="190" t="s">
        <v>576</v>
      </c>
      <c r="D20" s="188" t="s">
        <v>566</v>
      </c>
      <c r="E20" s="233"/>
      <c r="F20" s="202"/>
      <c r="G20" s="202">
        <v>8</v>
      </c>
      <c r="H20" s="205"/>
      <c r="I20" s="190"/>
      <c r="J20" s="208" t="s">
        <v>631</v>
      </c>
      <c r="K20" s="6"/>
      <c r="L20" s="6"/>
      <c r="M20" s="6"/>
    </row>
    <row r="21" spans="1:13" ht="20.100000000000001" customHeight="1" x14ac:dyDescent="0.25">
      <c r="A21" s="211" t="s">
        <v>672</v>
      </c>
      <c r="B21" s="215"/>
      <c r="C21" s="6"/>
      <c r="H21" s="6"/>
      <c r="I21" s="6"/>
      <c r="J21" s="6"/>
      <c r="K21" s="6"/>
      <c r="L21" s="6"/>
      <c r="M21" s="6"/>
    </row>
    <row r="22" spans="1:13" x14ac:dyDescent="0.25">
      <c r="A22" s="225" t="s">
        <v>575</v>
      </c>
      <c r="B22" s="216">
        <v>1</v>
      </c>
      <c r="C22" s="6"/>
      <c r="H22" s="6"/>
      <c r="I22" s="6"/>
      <c r="J22" s="6"/>
      <c r="K22" s="6"/>
      <c r="L22" s="6"/>
      <c r="M22" s="6"/>
    </row>
    <row r="23" spans="1:13" x14ac:dyDescent="0.25">
      <c r="A23" s="226" t="s">
        <v>187</v>
      </c>
      <c r="B23" s="217">
        <v>8</v>
      </c>
      <c r="C23" s="6"/>
      <c r="H23" s="6"/>
      <c r="I23" s="6"/>
      <c r="J23" s="6"/>
      <c r="K23" s="6"/>
      <c r="L23" s="6"/>
      <c r="M23" s="6"/>
    </row>
    <row r="24" spans="1:13" x14ac:dyDescent="0.25">
      <c r="A24" s="227" t="s">
        <v>191</v>
      </c>
      <c r="B24" s="216">
        <v>6</v>
      </c>
      <c r="C24" s="6"/>
      <c r="H24" s="6"/>
      <c r="I24" s="6"/>
      <c r="J24" s="6"/>
      <c r="K24" s="6"/>
      <c r="L24" s="6"/>
      <c r="M24" s="6"/>
    </row>
    <row r="25" spans="1:13" x14ac:dyDescent="0.25">
      <c r="A25" s="228" t="s">
        <v>576</v>
      </c>
      <c r="B25" s="217">
        <v>3</v>
      </c>
      <c r="C25" s="6"/>
      <c r="H25" s="6"/>
      <c r="I25" s="6"/>
      <c r="J25" s="6"/>
      <c r="K25" s="6"/>
      <c r="L25" s="6"/>
      <c r="M25" s="6"/>
    </row>
    <row r="26" spans="1:13" x14ac:dyDescent="0.25">
      <c r="A26" s="229" t="s">
        <v>673</v>
      </c>
      <c r="B26" s="216">
        <v>0</v>
      </c>
      <c r="C26" s="6"/>
      <c r="H26" s="6"/>
      <c r="I26" s="6"/>
      <c r="J26" s="6"/>
      <c r="K26" s="6"/>
      <c r="L26" s="6"/>
      <c r="M26" s="6"/>
    </row>
    <row r="27" spans="1:13" x14ac:dyDescent="0.25">
      <c r="A27" s="230" t="s">
        <v>589</v>
      </c>
      <c r="B27" s="217">
        <v>0</v>
      </c>
      <c r="C27" s="6"/>
      <c r="H27" s="6"/>
      <c r="I27" s="6"/>
      <c r="J27" s="6"/>
      <c r="K27" s="6"/>
      <c r="L27" s="6"/>
      <c r="M27" s="6"/>
    </row>
    <row r="28" spans="1:13" ht="15.75" thickBot="1" x14ac:dyDescent="0.3">
      <c r="A28" s="231" t="s">
        <v>674</v>
      </c>
      <c r="B28" s="232">
        <f>SUM(B22:B27)</f>
        <v>18</v>
      </c>
      <c r="C28" s="6"/>
      <c r="H28" s="6"/>
      <c r="I28" s="6"/>
      <c r="J28" s="6"/>
      <c r="K28" s="6"/>
      <c r="L28" s="6"/>
      <c r="M28" s="6"/>
    </row>
    <row r="29" spans="1:13" x14ac:dyDescent="0.25">
      <c r="A29" s="6"/>
      <c r="B29" s="6"/>
      <c r="C29" s="6"/>
      <c r="D29" s="6"/>
      <c r="E29" s="6"/>
      <c r="F29" s="6"/>
      <c r="G29" s="6"/>
      <c r="H29" s="6"/>
      <c r="I29" s="6"/>
      <c r="J29" s="6"/>
      <c r="K29" s="6"/>
      <c r="L29" s="6"/>
      <c r="M29" s="6"/>
    </row>
    <row r="30" spans="1:13" ht="20.100000000000001" customHeight="1" thickBot="1" x14ac:dyDescent="0.3">
      <c r="A30" s="209" t="s">
        <v>675</v>
      </c>
      <c r="B30" s="209"/>
      <c r="C30" s="209"/>
      <c r="D30" s="209"/>
      <c r="E30" s="209"/>
      <c r="F30" s="209"/>
      <c r="G30" s="209"/>
      <c r="H30" s="209"/>
      <c r="I30" s="209"/>
      <c r="J30" s="209"/>
      <c r="K30" s="6"/>
      <c r="L30" s="6"/>
      <c r="M30" s="6"/>
    </row>
    <row r="31" spans="1:13" ht="30" customHeight="1" x14ac:dyDescent="0.25">
      <c r="A31" s="235" t="s">
        <v>622</v>
      </c>
      <c r="B31" s="234" t="s">
        <v>676</v>
      </c>
      <c r="C31" s="234" t="s">
        <v>186</v>
      </c>
      <c r="D31" s="234" t="s">
        <v>545</v>
      </c>
      <c r="E31" s="234" t="s">
        <v>547</v>
      </c>
      <c r="F31" s="234" t="s">
        <v>677</v>
      </c>
      <c r="G31" s="234" t="s">
        <v>678</v>
      </c>
      <c r="H31" s="234" t="s">
        <v>679</v>
      </c>
      <c r="I31" s="234" t="s">
        <v>680</v>
      </c>
      <c r="J31" s="236" t="s">
        <v>626</v>
      </c>
      <c r="K31" s="6"/>
      <c r="L31" s="6"/>
      <c r="M31" s="6"/>
    </row>
    <row r="32" spans="1:13" x14ac:dyDescent="0.25">
      <c r="A32" s="237" t="str">
        <f>IF($B32="","",IFERROR(_xlfn.XLOOKUP($B32,$B$3:$B$20,$A$3:$A$20),""))</f>
        <v/>
      </c>
      <c r="B32" s="239"/>
      <c r="C32" s="184" t="str">
        <f>IF($B32="","",IFERROR(_xlfn.XLOOKUP($B32,$B$3:$B$20,$C$3:$C$20),""))</f>
        <v/>
      </c>
      <c r="D32" s="185" t="str">
        <f>IF($B32="","",IFERROR(_xlfn.XLOOKUP($B32,$B$3:$B$20,$D$3:$D$20),""))</f>
        <v/>
      </c>
      <c r="E32" s="197" t="str">
        <f>IF($B32="","",IFERROR(_xlfn.XLOOKUP($B32,$B$3:$B$20,$E$3:$E$20),""))</f>
        <v/>
      </c>
      <c r="F32" s="200" t="str">
        <f>IF($B32="","",IFERROR(_xlfn.XLOOKUP($B32,$B$3:$B$20,$F$3:$F$20),""))</f>
        <v/>
      </c>
      <c r="G32" s="200" t="str">
        <f>IF($B32="","",IFERROR(_xlfn.XLOOKUP($B32,$B$3:$B$20,$G$3:$G$20),""))</f>
        <v/>
      </c>
      <c r="H32" s="200" t="str">
        <f>IF($B32="","",IF(OR($B33="",$G32&lt;&gt;$G33),$G32,IF($G32=1,IF($E32&lt;=$E33,1,2),IF($E32&lt;=$E33,MAX(1,$G32-1),$G32))))</f>
        <v/>
      </c>
      <c r="I32" s="185" t="str">
        <f>IF($H32="","","Round "&amp;$H32)</f>
        <v/>
      </c>
      <c r="J32" s="241" t="str">
        <f>IF(OR($B32="",$F32=""),"",$F32-$H32)</f>
        <v/>
      </c>
      <c r="K32" s="6"/>
      <c r="L32" s="6"/>
      <c r="M32" s="6"/>
    </row>
    <row r="33" spans="1:13" x14ac:dyDescent="0.25">
      <c r="A33" s="238" t="str">
        <f>IF($B33="","",IFERROR(_xlfn.XLOOKUP($B33,$B$3:$B$20,$A$3:$A$20),""))</f>
        <v/>
      </c>
      <c r="B33" s="240"/>
      <c r="C33" s="186" t="str">
        <f>IF($B33="","",IFERROR(_xlfn.XLOOKUP($B33,$B$3:$B$20,$C$3:$C$20),""))</f>
        <v/>
      </c>
      <c r="D33" s="187" t="str">
        <f>IF($B33="","",IFERROR(_xlfn.XLOOKUP($B33,$B$3:$B$20,$D$3:$D$20),""))</f>
        <v/>
      </c>
      <c r="E33" s="198" t="str">
        <f>IF($B33="","",IFERROR(_xlfn.XLOOKUP($B33,$B$3:$B$20,$E$3:$E$20),""))</f>
        <v/>
      </c>
      <c r="F33" s="201" t="str">
        <f>IF($B33="","",IFERROR(_xlfn.XLOOKUP($B33,$B$3:$B$20,$F$3:$F$20),""))</f>
        <v/>
      </c>
      <c r="G33" s="201" t="str">
        <f>IF($B33="","",IFERROR(_xlfn.XLOOKUP($B33,$B$3:$B$20,$G$3:$G$20),""))</f>
        <v/>
      </c>
      <c r="H33" s="201" t="str">
        <f>IF($B33="","",IF(OR($B32="",$G33&lt;&gt;$G32),$G33,IF($G33=1,IF($E33&lt;=$E32,1,2),IF($E33&lt;=$E32,MAX(1,$G33-1),$G33))))</f>
        <v/>
      </c>
      <c r="I33" s="187" t="str">
        <f>IF($H33="","","Round "&amp;$H33)</f>
        <v/>
      </c>
      <c r="J33" s="242" t="str">
        <f>IF(OR($B33="",$F33=""),"",$F33-$H33)</f>
        <v/>
      </c>
      <c r="K33" s="6"/>
      <c r="L33" s="6"/>
      <c r="M33" s="6"/>
    </row>
    <row r="34" spans="1:13" ht="15.75" thickBot="1" x14ac:dyDescent="0.3">
      <c r="A34" s="248" t="s">
        <v>681</v>
      </c>
      <c r="B34" s="243"/>
      <c r="C34" s="244"/>
      <c r="D34" s="244"/>
      <c r="E34" s="244"/>
      <c r="F34" s="244"/>
      <c r="G34" s="245" t="str">
        <f>IF(COUNT($G$32:$G$33)=0,"",SUM($G$32:$G$33))</f>
        <v/>
      </c>
      <c r="H34" s="245" t="str">
        <f>IF(COUNT($H$32:$H$33)=0,"",SUM($H$32:$H$33))</f>
        <v/>
      </c>
      <c r="I34" s="246"/>
      <c r="J34" s="247" t="str">
        <f>IF(COUNT($J$32:$J$33)=0,"",SUM($J$32:$J$33))</f>
        <v/>
      </c>
      <c r="K34" s="6"/>
      <c r="L34" s="6"/>
      <c r="M34" s="6"/>
    </row>
    <row r="35" spans="1:13" ht="15.75" thickBot="1" x14ac:dyDescent="0.3">
      <c r="A35" s="6"/>
      <c r="B35" s="6"/>
      <c r="C35" s="6"/>
      <c r="D35" s="6"/>
      <c r="E35" s="6"/>
      <c r="F35" s="6"/>
      <c r="G35" s="6"/>
      <c r="H35" s="6"/>
      <c r="I35" s="6"/>
      <c r="J35" s="6"/>
      <c r="K35" s="6"/>
      <c r="L35" s="6"/>
      <c r="M35" s="6"/>
    </row>
    <row r="36" spans="1:13" ht="20.100000000000001" customHeight="1" x14ac:dyDescent="0.25">
      <c r="A36" s="211" t="s">
        <v>682</v>
      </c>
      <c r="B36" s="210"/>
      <c r="C36" s="210"/>
      <c r="D36" s="210"/>
      <c r="E36" s="210"/>
      <c r="F36" s="210"/>
      <c r="G36" s="210"/>
      <c r="H36" s="210"/>
      <c r="I36" s="210"/>
      <c r="J36" s="215"/>
      <c r="K36" s="6"/>
      <c r="L36" s="6"/>
      <c r="M36" s="6"/>
    </row>
    <row r="37" spans="1:13" ht="30" customHeight="1" x14ac:dyDescent="0.25">
      <c r="A37" s="252" t="s">
        <v>683</v>
      </c>
      <c r="B37" s="249"/>
      <c r="C37" s="249"/>
      <c r="D37" s="249"/>
      <c r="E37" s="249"/>
      <c r="F37" s="249"/>
      <c r="G37" s="249"/>
      <c r="H37" s="249"/>
      <c r="I37" s="249"/>
      <c r="J37" s="255"/>
      <c r="K37" s="6"/>
      <c r="L37" s="6"/>
      <c r="M37" s="6"/>
    </row>
    <row r="38" spans="1:13" ht="30" customHeight="1" x14ac:dyDescent="0.25">
      <c r="A38" s="253" t="s">
        <v>684</v>
      </c>
      <c r="B38" s="250"/>
      <c r="C38" s="250"/>
      <c r="D38" s="250"/>
      <c r="E38" s="250"/>
      <c r="F38" s="250"/>
      <c r="G38" s="250"/>
      <c r="H38" s="250"/>
      <c r="I38" s="250"/>
      <c r="J38" s="256"/>
      <c r="K38" s="6"/>
      <c r="L38" s="6"/>
      <c r="M38" s="6"/>
    </row>
    <row r="39" spans="1:13" ht="30" customHeight="1" x14ac:dyDescent="0.25">
      <c r="A39" s="252" t="s">
        <v>685</v>
      </c>
      <c r="B39" s="249"/>
      <c r="C39" s="249"/>
      <c r="D39" s="249"/>
      <c r="E39" s="249"/>
      <c r="F39" s="249"/>
      <c r="G39" s="249"/>
      <c r="H39" s="249"/>
      <c r="I39" s="249"/>
      <c r="J39" s="255"/>
      <c r="K39" s="6"/>
      <c r="L39" s="6"/>
      <c r="M39" s="6"/>
    </row>
    <row r="40" spans="1:13" ht="15.95" customHeight="1" x14ac:dyDescent="0.25">
      <c r="A40" s="253" t="str" cm="1">
        <f t="array" ref="A40">"Rounds traded away: "&amp;_xlfn.LET(_xlpm.sl,MATCH(TRUE,EXACT('Draft Order-Traded Picks'!$B$2:$K$2,$M$13),0),_xlpm.g,INDEX('Draft Order-Traded Picks'!$B$3:$K$18,_xlfn.SEQUENCE(16),_xlpm.sl),IF(SUMPRODUCT(--(_xlpm.g&lt;&gt;""))=0,"none",_xlfn.TEXTJOIN(", ",TRUE,IF(_xlpm.g&lt;&gt;"","Rd "&amp;_xlfn.SEQUENCE(16),""))))</f>
        <v>Rounds traded away: Rd 2, Rd 7</v>
      </c>
      <c r="B40" s="250"/>
      <c r="C40" s="250"/>
      <c r="D40" s="250"/>
      <c r="E40" s="250"/>
      <c r="F40" s="250"/>
      <c r="G40" s="250"/>
      <c r="H40" s="250"/>
      <c r="I40" s="250"/>
      <c r="J40" s="256"/>
      <c r="K40" s="6"/>
      <c r="L40" s="6"/>
      <c r="M40" s="6"/>
    </row>
    <row r="41" spans="1:13" ht="15.95" customHeight="1" x14ac:dyDescent="0.25">
      <c r="A41" s="252" t="str" cm="1">
        <f t="array" ref="A41">"Rounds acquired: "&amp;_xlfn.LET(_xlpm.m,MMULT(--EXACT('Draft Order-Traded Picks'!$B$3:$K$18,$M$12),_xlfn.SEQUENCE(10,1,1,0)),IF(SUM(_xlpm.m)=0,"none",_xlfn.TEXTJOIN(", ",TRUE,IF(_xlpm.m&gt;0,"Rd "&amp;_xlfn.SEQUENCE(16)&amp;IF(_xlpm.m&gt;1," (x"&amp;_xlpm.m&amp;")",""),""))&amp;"  -  "&amp;SUM(_xlpm.m)&amp;" pick(s) total"))</f>
        <v>Rounds acquired: Rd 10, Rd 12  -  2 pick(s) total</v>
      </c>
      <c r="B41" s="249"/>
      <c r="C41" s="249"/>
      <c r="D41" s="249"/>
      <c r="E41" s="249"/>
      <c r="F41" s="249"/>
      <c r="G41" s="249"/>
      <c r="H41" s="249"/>
      <c r="I41" s="249"/>
      <c r="J41" s="255"/>
      <c r="K41" s="6"/>
      <c r="L41" s="6"/>
      <c r="M41" s="6"/>
    </row>
    <row r="42" spans="1:13" ht="30" customHeight="1" thickBot="1" x14ac:dyDescent="0.3">
      <c r="A42" s="254" t="s">
        <v>696</v>
      </c>
      <c r="B42" s="251"/>
      <c r="C42" s="251"/>
      <c r="D42" s="251"/>
      <c r="E42" s="251"/>
      <c r="F42" s="251"/>
      <c r="G42" s="251"/>
      <c r="H42" s="251"/>
      <c r="I42" s="251"/>
      <c r="J42" s="257"/>
      <c r="K42" s="6"/>
      <c r="L42" s="6"/>
      <c r="M42" s="6"/>
    </row>
  </sheetData>
  <mergeCells count="11">
    <mergeCell ref="A37:J37"/>
    <mergeCell ref="A38:J38"/>
    <mergeCell ref="A39:J39"/>
    <mergeCell ref="A40:J40"/>
    <mergeCell ref="A41:J41"/>
    <mergeCell ref="A42:J42"/>
    <mergeCell ref="A1:J1"/>
    <mergeCell ref="L2:M2"/>
    <mergeCell ref="A21:B21"/>
    <mergeCell ref="A30:J30"/>
    <mergeCell ref="A36:J36"/>
  </mergeCells>
  <conditionalFormatting sqref="A3:J20">
    <cfRule type="expression" dxfId="90" priority="1">
      <formula>AND($B3&lt;&gt;"",MOD(ROW(),2)=0)</formula>
    </cfRule>
  </conditionalFormatting>
  <conditionalFormatting sqref="C3:C20">
    <cfRule type="containsText" dxfId="89" priority="2" operator="containsText" text="QB">
      <formula>NOT(ISERROR(SEARCH("QB",C3)))</formula>
    </cfRule>
  </conditionalFormatting>
  <conditionalFormatting sqref="C3:C20">
    <cfRule type="containsText" dxfId="88" priority="3" operator="containsText" text="RB">
      <formula>NOT(ISERROR(SEARCH("RB",C3)))</formula>
    </cfRule>
  </conditionalFormatting>
  <conditionalFormatting sqref="C3:C20">
    <cfRule type="containsText" dxfId="87" priority="4" operator="containsText" text="WR">
      <formula>NOT(ISERROR(SEARCH("WR",C3)))</formula>
    </cfRule>
  </conditionalFormatting>
  <conditionalFormatting sqref="C3:C20">
    <cfRule type="containsText" dxfId="86" priority="5" operator="containsText" text="TE">
      <formula>NOT(ISERROR(SEARCH("TE",C3)))</formula>
    </cfRule>
  </conditionalFormatting>
  <conditionalFormatting sqref="C3:C20">
    <cfRule type="containsText" dxfId="85" priority="6" operator="containsText" text="K">
      <formula>NOT(ISERROR(SEARCH("K",C3)))</formula>
    </cfRule>
  </conditionalFormatting>
  <conditionalFormatting sqref="C3:C20">
    <cfRule type="containsText" dxfId="84" priority="7" operator="containsText" text="DEF">
      <formula>NOT(ISERROR(SEARCH("DEF",C3)))</formula>
    </cfRule>
  </conditionalFormatting>
  <conditionalFormatting sqref="C32:C33">
    <cfRule type="containsText" dxfId="83" priority="8" operator="containsText" text="QB">
      <formula>NOT(ISERROR(SEARCH("QB",C32)))</formula>
    </cfRule>
  </conditionalFormatting>
  <conditionalFormatting sqref="C32:C33">
    <cfRule type="containsText" dxfId="82" priority="9" operator="containsText" text="RB">
      <formula>NOT(ISERROR(SEARCH("RB",C32)))</formula>
    </cfRule>
  </conditionalFormatting>
  <conditionalFormatting sqref="C32:C33">
    <cfRule type="containsText" dxfId="81" priority="10" operator="containsText" text="WR">
      <formula>NOT(ISERROR(SEARCH("WR",C32)))</formula>
    </cfRule>
  </conditionalFormatting>
  <conditionalFormatting sqref="C32:C33">
    <cfRule type="containsText" dxfId="80" priority="11" operator="containsText" text="TE">
      <formula>NOT(ISERROR(SEARCH("TE",C32)))</formula>
    </cfRule>
  </conditionalFormatting>
  <conditionalFormatting sqref="C32:C33">
    <cfRule type="containsText" dxfId="79" priority="12" operator="containsText" text="K">
      <formula>NOT(ISERROR(SEARCH("K",C32)))</formula>
    </cfRule>
  </conditionalFormatting>
  <conditionalFormatting sqref="C32:C33">
    <cfRule type="containsText" dxfId="78" priority="13" operator="containsText" text="DEF">
      <formula>NOT(ISERROR(SEARCH("DEF",C32)))</formula>
    </cfRule>
  </conditionalFormatting>
  <conditionalFormatting sqref="I3:I20">
    <cfRule type="expression" dxfId="77" priority="14">
      <formula>$I3&lt;&gt;""</formula>
    </cfRule>
  </conditionalFormatting>
  <conditionalFormatting sqref="J3:J20">
    <cfRule type="expression" dxfId="76" priority="15">
      <formula>ISNUMBER(SEARCH("Waiver",$J3))</formula>
    </cfRule>
  </conditionalFormatting>
  <conditionalFormatting sqref="H32:H33">
    <cfRule type="expression" dxfId="75" priority="20">
      <formula>AND($B32&lt;&gt;"",$H32&lt;&gt;$G32)</formula>
    </cfRule>
  </conditionalFormatting>
  <conditionalFormatting sqref="B32:B33">
    <cfRule type="expression" dxfId="74" priority="21">
      <formula>AND($B32&lt;&gt;"",COUNTIF($B$32:$B$33,$B32)&gt;1)</formula>
    </cfRule>
  </conditionalFormatting>
  <conditionalFormatting sqref="H3:H20">
    <cfRule type="expression" dxfId="11" priority="22">
      <formula>AND(ISNUMBER($H3),$H3&gt;0)</formula>
    </cfRule>
  </conditionalFormatting>
  <conditionalFormatting sqref="H3:H20">
    <cfRule type="expression" dxfId="10" priority="23">
      <formula>AND(ISNUMBER($H3),$H3&lt;0)</formula>
    </cfRule>
  </conditionalFormatting>
  <conditionalFormatting sqref="J32:J34">
    <cfRule type="expression" dxfId="9" priority="24">
      <formula>AND(ISNUMBER($J32),$J32&gt;0)</formula>
    </cfRule>
  </conditionalFormatting>
  <conditionalFormatting sqref="J32:J34">
    <cfRule type="expression" dxfId="8" priority="25">
      <formula>AND(ISNUMBER($J32),$J32&lt;0)</formula>
    </cfRule>
  </conditionalFormatting>
  <dataValidations count="1">
    <dataValidation type="list" allowBlank="1" showInputMessage="1" showErrorMessage="1" errorTitle="Not on this roster" error="Pick a player from this team's roster list above." promptTitle="Keeper selection" prompt="Choose one of this team's players. Keeper cost and value update automatically." sqref="B32:B33" xr:uid="{F8CA6322-7918-43E6-8894-85CCCF999E27}">
      <formula1>$B$3:$B$20</formula1>
    </dataValidation>
  </dataValidations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5F5777A-8A0D-42B1-84EB-881F8942FA87}">
  <sheetPr>
    <tabColor rgb="FF1F4E79"/>
  </sheetPr>
  <dimension ref="A1:M42"/>
  <sheetViews>
    <sheetView tabSelected="1" workbookViewId="0">
      <pane ySplit="2" topLeftCell="A3" activePane="bottomLeft" state="frozen"/>
      <selection pane="bottomLeft" activeCell="G4" sqref="G4"/>
    </sheetView>
  </sheetViews>
  <sheetFormatPr defaultRowHeight="15" x14ac:dyDescent="0.25"/>
  <cols>
    <col min="1" max="1" width="21.5703125" customWidth="1"/>
    <col min="2" max="2" width="41.85546875" customWidth="1"/>
    <col min="3" max="3" width="12.7109375" customWidth="1"/>
    <col min="4" max="4" width="29.140625" customWidth="1"/>
    <col min="5" max="5" width="25.28515625" customWidth="1"/>
    <col min="6" max="6" width="21.5703125" customWidth="1"/>
    <col min="7" max="7" width="25.28515625" customWidth="1"/>
    <col min="8" max="8" width="20.42578125" customWidth="1"/>
    <col min="9" max="9" width="24.140625" customWidth="1"/>
    <col min="10" max="10" width="35.5703125" customWidth="1"/>
    <col min="11" max="11" width="4.5703125" customWidth="1"/>
    <col min="12" max="12" width="38.140625" customWidth="1"/>
    <col min="13" max="13" width="33" customWidth="1"/>
  </cols>
  <sheetData>
    <row r="1" spans="1:13" ht="30" customHeight="1" thickBot="1" x14ac:dyDescent="0.3">
      <c r="A1" s="183" t="s">
        <v>693</v>
      </c>
      <c r="B1" s="183"/>
      <c r="C1" s="183"/>
      <c r="D1" s="183"/>
      <c r="E1" s="183"/>
      <c r="F1" s="183"/>
      <c r="G1" s="183"/>
      <c r="H1" s="183"/>
      <c r="I1" s="183"/>
      <c r="J1" s="183"/>
      <c r="K1" s="6"/>
      <c r="L1" s="6"/>
      <c r="M1" s="6"/>
    </row>
    <row r="2" spans="1:13" ht="42" customHeight="1" x14ac:dyDescent="0.25">
      <c r="A2" s="191" t="s">
        <v>622</v>
      </c>
      <c r="B2" s="189" t="s">
        <v>354</v>
      </c>
      <c r="C2" s="189" t="s">
        <v>186</v>
      </c>
      <c r="D2" s="189" t="s">
        <v>545</v>
      </c>
      <c r="E2" s="189" t="s">
        <v>623</v>
      </c>
      <c r="F2" s="189" t="s">
        <v>624</v>
      </c>
      <c r="G2" s="189" t="s">
        <v>625</v>
      </c>
      <c r="H2" s="189" t="s">
        <v>626</v>
      </c>
      <c r="I2" s="189" t="s">
        <v>627</v>
      </c>
      <c r="J2" s="192" t="s">
        <v>628</v>
      </c>
      <c r="K2" s="6"/>
      <c r="L2" s="211" t="s">
        <v>661</v>
      </c>
      <c r="M2" s="215"/>
    </row>
    <row r="3" spans="1:13" x14ac:dyDescent="0.25">
      <c r="A3" s="193" t="s">
        <v>643</v>
      </c>
      <c r="B3" s="195" t="s">
        <v>59</v>
      </c>
      <c r="C3" s="185" t="s">
        <v>575</v>
      </c>
      <c r="D3" s="185" t="s">
        <v>565</v>
      </c>
      <c r="E3" s="197">
        <v>67.2</v>
      </c>
      <c r="F3" s="200">
        <v>7</v>
      </c>
      <c r="G3" s="200">
        <v>2</v>
      </c>
      <c r="H3" s="203">
        <v>-5</v>
      </c>
      <c r="I3" s="185"/>
      <c r="J3" s="206" t="s">
        <v>634</v>
      </c>
      <c r="K3" s="6"/>
      <c r="L3" s="212" t="s">
        <v>662</v>
      </c>
      <c r="M3" s="216">
        <v>16</v>
      </c>
    </row>
    <row r="4" spans="1:13" x14ac:dyDescent="0.25">
      <c r="A4" s="194" t="s">
        <v>630</v>
      </c>
      <c r="B4" s="196" t="s">
        <v>90</v>
      </c>
      <c r="C4" s="187" t="s">
        <v>575</v>
      </c>
      <c r="D4" s="187" t="s">
        <v>583</v>
      </c>
      <c r="E4" s="198">
        <v>80.2</v>
      </c>
      <c r="F4" s="201">
        <v>9</v>
      </c>
      <c r="G4" s="201">
        <v>8</v>
      </c>
      <c r="H4" s="204">
        <v>-1</v>
      </c>
      <c r="I4" s="187"/>
      <c r="J4" s="207" t="s">
        <v>631</v>
      </c>
      <c r="K4" s="6"/>
      <c r="L4" s="213" t="s">
        <v>663</v>
      </c>
      <c r="M4" s="217">
        <v>2</v>
      </c>
    </row>
    <row r="5" spans="1:13" x14ac:dyDescent="0.25">
      <c r="A5" s="194" t="s">
        <v>643</v>
      </c>
      <c r="B5" s="196" t="s">
        <v>53</v>
      </c>
      <c r="C5" s="187" t="s">
        <v>187</v>
      </c>
      <c r="D5" s="187" t="s">
        <v>556</v>
      </c>
      <c r="E5" s="198">
        <v>7.5</v>
      </c>
      <c r="F5" s="201">
        <v>1</v>
      </c>
      <c r="G5" s="201">
        <v>2</v>
      </c>
      <c r="H5" s="204">
        <v>1</v>
      </c>
      <c r="I5" s="187"/>
      <c r="J5" s="207" t="s">
        <v>634</v>
      </c>
      <c r="K5" s="6"/>
      <c r="L5" s="212" t="s">
        <v>664</v>
      </c>
      <c r="M5" s="218">
        <v>64.573333333333395</v>
      </c>
    </row>
    <row r="6" spans="1:13" x14ac:dyDescent="0.25">
      <c r="A6" s="194" t="s">
        <v>641</v>
      </c>
      <c r="B6" s="196" t="s">
        <v>140</v>
      </c>
      <c r="C6" s="187" t="s">
        <v>187</v>
      </c>
      <c r="D6" s="187" t="s">
        <v>578</v>
      </c>
      <c r="E6" s="198">
        <v>45.2</v>
      </c>
      <c r="F6" s="201">
        <v>5</v>
      </c>
      <c r="G6" s="201">
        <v>13</v>
      </c>
      <c r="H6" s="204">
        <v>8</v>
      </c>
      <c r="I6" s="187" t="s">
        <v>633</v>
      </c>
      <c r="J6" s="207" t="s">
        <v>634</v>
      </c>
      <c r="K6" s="6"/>
      <c r="L6" s="213" t="s">
        <v>665</v>
      </c>
      <c r="M6" s="219">
        <v>8</v>
      </c>
    </row>
    <row r="7" spans="1:13" x14ac:dyDescent="0.25">
      <c r="A7" s="194" t="s">
        <v>642</v>
      </c>
      <c r="B7" s="196" t="s">
        <v>14</v>
      </c>
      <c r="C7" s="187" t="s">
        <v>187</v>
      </c>
      <c r="D7" s="187" t="s">
        <v>568</v>
      </c>
      <c r="E7" s="198">
        <v>61.1</v>
      </c>
      <c r="F7" s="201">
        <v>7</v>
      </c>
      <c r="G7" s="201">
        <v>5</v>
      </c>
      <c r="H7" s="204">
        <v>-2</v>
      </c>
      <c r="I7" s="187"/>
      <c r="J7" s="207" t="s">
        <v>634</v>
      </c>
      <c r="K7" s="6"/>
      <c r="L7" s="212" t="s">
        <v>666</v>
      </c>
      <c r="M7" s="216" t="s">
        <v>140</v>
      </c>
    </row>
    <row r="8" spans="1:13" x14ac:dyDescent="0.25">
      <c r="A8" s="194" t="s">
        <v>643</v>
      </c>
      <c r="B8" s="196" t="s">
        <v>100</v>
      </c>
      <c r="C8" s="187" t="s">
        <v>191</v>
      </c>
      <c r="D8" s="187" t="s">
        <v>552</v>
      </c>
      <c r="E8" s="198">
        <v>3.1</v>
      </c>
      <c r="F8" s="201">
        <v>1</v>
      </c>
      <c r="G8" s="201">
        <v>2</v>
      </c>
      <c r="H8" s="204">
        <v>1</v>
      </c>
      <c r="I8" s="187"/>
      <c r="J8" s="207" t="s">
        <v>647</v>
      </c>
      <c r="K8" s="6"/>
      <c r="L8" s="213" t="s">
        <v>667</v>
      </c>
      <c r="M8" s="217">
        <v>1</v>
      </c>
    </row>
    <row r="9" spans="1:13" ht="15.75" thickBot="1" x14ac:dyDescent="0.3">
      <c r="A9" s="194" t="s">
        <v>632</v>
      </c>
      <c r="B9" s="196" t="s">
        <v>75</v>
      </c>
      <c r="C9" s="187" t="s">
        <v>191</v>
      </c>
      <c r="D9" s="187" t="s">
        <v>551</v>
      </c>
      <c r="E9" s="198">
        <v>6.6</v>
      </c>
      <c r="F9" s="201">
        <v>1</v>
      </c>
      <c r="G9" s="201">
        <v>1</v>
      </c>
      <c r="H9" s="204">
        <v>0</v>
      </c>
      <c r="I9" s="187"/>
      <c r="J9" s="207" t="s">
        <v>634</v>
      </c>
      <c r="K9" s="6"/>
      <c r="L9" s="214" t="s">
        <v>668</v>
      </c>
      <c r="M9" s="220">
        <v>4</v>
      </c>
    </row>
    <row r="10" spans="1:13" x14ac:dyDescent="0.25">
      <c r="A10" s="194" t="s">
        <v>639</v>
      </c>
      <c r="B10" s="196" t="s">
        <v>117</v>
      </c>
      <c r="C10" s="187" t="s">
        <v>191</v>
      </c>
      <c r="D10" s="187" t="s">
        <v>561</v>
      </c>
      <c r="E10" s="198">
        <v>14.2</v>
      </c>
      <c r="F10" s="201">
        <v>2</v>
      </c>
      <c r="G10" s="201">
        <v>7</v>
      </c>
      <c r="H10" s="204">
        <v>5</v>
      </c>
      <c r="I10" s="187"/>
      <c r="J10" s="207" t="s">
        <v>634</v>
      </c>
      <c r="K10" s="6"/>
      <c r="L10" s="6"/>
      <c r="M10" s="6"/>
    </row>
    <row r="11" spans="1:13" x14ac:dyDescent="0.25">
      <c r="A11" s="194" t="s">
        <v>645</v>
      </c>
      <c r="B11" s="196" t="s">
        <v>142</v>
      </c>
      <c r="C11" s="187" t="s">
        <v>191</v>
      </c>
      <c r="D11" s="187" t="s">
        <v>566</v>
      </c>
      <c r="E11" s="198">
        <v>40.200000000000003</v>
      </c>
      <c r="F11" s="201">
        <v>5</v>
      </c>
      <c r="G11" s="201">
        <v>10</v>
      </c>
      <c r="H11" s="204">
        <v>5</v>
      </c>
      <c r="I11" s="187" t="s">
        <v>633</v>
      </c>
      <c r="J11" s="207" t="s">
        <v>634</v>
      </c>
      <c r="K11" s="6"/>
      <c r="L11" s="221" t="s">
        <v>669</v>
      </c>
      <c r="M11" s="221" t="s">
        <v>640</v>
      </c>
    </row>
    <row r="12" spans="1:13" x14ac:dyDescent="0.25">
      <c r="A12" s="194" t="s">
        <v>635</v>
      </c>
      <c r="B12" s="196" t="s">
        <v>45</v>
      </c>
      <c r="C12" s="187" t="s">
        <v>191</v>
      </c>
      <c r="D12" s="187" t="s">
        <v>579</v>
      </c>
      <c r="E12" s="198">
        <v>45.7</v>
      </c>
      <c r="F12" s="201">
        <v>5</v>
      </c>
      <c r="G12" s="201">
        <v>3</v>
      </c>
      <c r="H12" s="204">
        <v>-2</v>
      </c>
      <c r="I12" s="187"/>
      <c r="J12" s="207" t="s">
        <v>634</v>
      </c>
      <c r="K12" s="6"/>
      <c r="L12" s="221" t="s">
        <v>670</v>
      </c>
      <c r="M12" s="221" t="s">
        <v>192</v>
      </c>
    </row>
    <row r="13" spans="1:13" ht="23.25" x14ac:dyDescent="0.25">
      <c r="A13" s="194" t="s">
        <v>646</v>
      </c>
      <c r="B13" s="196" t="s">
        <v>144</v>
      </c>
      <c r="C13" s="187" t="s">
        <v>191</v>
      </c>
      <c r="D13" s="187" t="s">
        <v>573</v>
      </c>
      <c r="E13" s="198">
        <v>65.099999999999994</v>
      </c>
      <c r="F13" s="201">
        <v>7</v>
      </c>
      <c r="G13" s="201">
        <v>4</v>
      </c>
      <c r="H13" s="204">
        <v>-3</v>
      </c>
      <c r="I13" s="187"/>
      <c r="J13" s="207" t="s">
        <v>634</v>
      </c>
      <c r="K13" s="6"/>
      <c r="L13" s="221" t="s">
        <v>671</v>
      </c>
      <c r="M13" s="222" t="s">
        <v>92</v>
      </c>
    </row>
    <row r="14" spans="1:13" x14ac:dyDescent="0.25">
      <c r="A14" s="194" t="s">
        <v>630</v>
      </c>
      <c r="B14" s="196" t="s">
        <v>248</v>
      </c>
      <c r="C14" s="187" t="s">
        <v>191</v>
      </c>
      <c r="D14" s="187" t="s">
        <v>585</v>
      </c>
      <c r="E14" s="198">
        <v>81.7</v>
      </c>
      <c r="F14" s="201">
        <v>9</v>
      </c>
      <c r="G14" s="201">
        <v>8</v>
      </c>
      <c r="H14" s="204">
        <v>-1</v>
      </c>
      <c r="I14" s="187"/>
      <c r="J14" s="207" t="s">
        <v>631</v>
      </c>
      <c r="K14" s="6"/>
      <c r="L14" s="6"/>
      <c r="M14" s="6"/>
    </row>
    <row r="15" spans="1:13" x14ac:dyDescent="0.25">
      <c r="A15" s="194" t="s">
        <v>630</v>
      </c>
      <c r="B15" s="196" t="s">
        <v>391</v>
      </c>
      <c r="C15" s="187" t="s">
        <v>576</v>
      </c>
      <c r="D15" s="187" t="s">
        <v>567</v>
      </c>
      <c r="E15" s="198">
        <v>154.30000000000001</v>
      </c>
      <c r="F15" s="201">
        <v>16</v>
      </c>
      <c r="G15" s="201">
        <v>8</v>
      </c>
      <c r="H15" s="204">
        <v>-8</v>
      </c>
      <c r="I15" s="187"/>
      <c r="J15" s="207" t="s">
        <v>631</v>
      </c>
      <c r="K15" s="6"/>
      <c r="L15" s="6"/>
      <c r="M15" s="6"/>
    </row>
    <row r="16" spans="1:13" x14ac:dyDescent="0.25">
      <c r="A16" s="194" t="s">
        <v>630</v>
      </c>
      <c r="B16" s="196" t="s">
        <v>68</v>
      </c>
      <c r="C16" s="187" t="s">
        <v>576</v>
      </c>
      <c r="D16" s="187" t="s">
        <v>568</v>
      </c>
      <c r="E16" s="198">
        <v>154.80000000000001</v>
      </c>
      <c r="F16" s="201">
        <v>16</v>
      </c>
      <c r="G16" s="201">
        <v>8</v>
      </c>
      <c r="H16" s="204">
        <v>-8</v>
      </c>
      <c r="I16" s="187"/>
      <c r="J16" s="207" t="s">
        <v>631</v>
      </c>
      <c r="K16" s="6"/>
      <c r="L16" s="6"/>
      <c r="M16" s="6"/>
    </row>
    <row r="17" spans="1:13" x14ac:dyDescent="0.25">
      <c r="A17" s="194" t="s">
        <v>644</v>
      </c>
      <c r="B17" s="196" t="s">
        <v>122</v>
      </c>
      <c r="C17" s="187" t="s">
        <v>673</v>
      </c>
      <c r="D17" s="187" t="s">
        <v>568</v>
      </c>
      <c r="E17" s="198">
        <v>141.69999999999999</v>
      </c>
      <c r="F17" s="201">
        <v>15</v>
      </c>
      <c r="G17" s="201">
        <v>16</v>
      </c>
      <c r="H17" s="204">
        <v>1</v>
      </c>
      <c r="I17" s="187"/>
      <c r="J17" s="207" t="s">
        <v>634</v>
      </c>
      <c r="K17" s="6"/>
      <c r="L17" s="6"/>
      <c r="M17" s="6"/>
    </row>
    <row r="18" spans="1:13" x14ac:dyDescent="0.25">
      <c r="A18" s="194" t="s">
        <v>638</v>
      </c>
      <c r="B18" s="196" t="s">
        <v>217</v>
      </c>
      <c r="C18" s="187" t="s">
        <v>589</v>
      </c>
      <c r="D18" s="187" t="s">
        <v>581</v>
      </c>
      <c r="E18" s="198"/>
      <c r="F18" s="201"/>
      <c r="G18" s="201">
        <v>12</v>
      </c>
      <c r="H18" s="204"/>
      <c r="I18" s="187"/>
      <c r="J18" s="207" t="s">
        <v>634</v>
      </c>
      <c r="K18" s="6"/>
      <c r="L18" s="6"/>
      <c r="M18" s="6"/>
    </row>
    <row r="19" spans="1:13" x14ac:dyDescent="0.25">
      <c r="A19" s="194"/>
      <c r="B19" s="196"/>
      <c r="C19" s="187"/>
      <c r="D19" s="187"/>
      <c r="E19" s="198"/>
      <c r="F19" s="201"/>
      <c r="G19" s="201"/>
      <c r="H19" s="204"/>
      <c r="I19" s="187"/>
      <c r="J19" s="207"/>
      <c r="K19" s="6"/>
      <c r="L19" s="6"/>
      <c r="M19" s="6"/>
    </row>
    <row r="20" spans="1:13" ht="15.75" thickBot="1" x14ac:dyDescent="0.3">
      <c r="A20" s="223"/>
      <c r="B20" s="224"/>
      <c r="C20" s="190"/>
      <c r="D20" s="188"/>
      <c r="E20" s="233"/>
      <c r="F20" s="202"/>
      <c r="G20" s="202"/>
      <c r="H20" s="205"/>
      <c r="I20" s="190"/>
      <c r="J20" s="208"/>
      <c r="K20" s="6"/>
      <c r="L20" s="6"/>
      <c r="M20" s="6"/>
    </row>
    <row r="21" spans="1:13" ht="20.100000000000001" customHeight="1" x14ac:dyDescent="0.25">
      <c r="A21" s="211" t="s">
        <v>672</v>
      </c>
      <c r="B21" s="215"/>
      <c r="C21" s="6"/>
      <c r="H21" s="6"/>
      <c r="I21" s="6"/>
      <c r="J21" s="6"/>
      <c r="K21" s="6"/>
      <c r="L21" s="6"/>
      <c r="M21" s="6"/>
    </row>
    <row r="22" spans="1:13" x14ac:dyDescent="0.25">
      <c r="A22" s="225" t="s">
        <v>575</v>
      </c>
      <c r="B22" s="216">
        <v>2</v>
      </c>
      <c r="C22" s="6"/>
      <c r="H22" s="6"/>
      <c r="I22" s="6"/>
      <c r="J22" s="6"/>
      <c r="K22" s="6"/>
      <c r="L22" s="6"/>
      <c r="M22" s="6"/>
    </row>
    <row r="23" spans="1:13" x14ac:dyDescent="0.25">
      <c r="A23" s="226" t="s">
        <v>187</v>
      </c>
      <c r="B23" s="217">
        <v>3</v>
      </c>
      <c r="C23" s="6"/>
      <c r="H23" s="6"/>
      <c r="I23" s="6"/>
      <c r="J23" s="6"/>
      <c r="K23" s="6"/>
      <c r="L23" s="6"/>
      <c r="M23" s="6"/>
    </row>
    <row r="24" spans="1:13" x14ac:dyDescent="0.25">
      <c r="A24" s="227" t="s">
        <v>191</v>
      </c>
      <c r="B24" s="216">
        <v>7</v>
      </c>
      <c r="C24" s="6"/>
      <c r="H24" s="6"/>
      <c r="I24" s="6"/>
      <c r="J24" s="6"/>
      <c r="K24" s="6"/>
      <c r="L24" s="6"/>
      <c r="M24" s="6"/>
    </row>
    <row r="25" spans="1:13" x14ac:dyDescent="0.25">
      <c r="A25" s="228" t="s">
        <v>576</v>
      </c>
      <c r="B25" s="217">
        <v>2</v>
      </c>
      <c r="C25" s="6"/>
      <c r="H25" s="6"/>
      <c r="I25" s="6"/>
      <c r="J25" s="6"/>
      <c r="K25" s="6"/>
      <c r="L25" s="6"/>
      <c r="M25" s="6"/>
    </row>
    <row r="26" spans="1:13" x14ac:dyDescent="0.25">
      <c r="A26" s="229" t="s">
        <v>673</v>
      </c>
      <c r="B26" s="216">
        <v>1</v>
      </c>
      <c r="C26" s="6"/>
      <c r="H26" s="6"/>
      <c r="I26" s="6"/>
      <c r="J26" s="6"/>
      <c r="K26" s="6"/>
      <c r="L26" s="6"/>
      <c r="M26" s="6"/>
    </row>
    <row r="27" spans="1:13" x14ac:dyDescent="0.25">
      <c r="A27" s="230" t="s">
        <v>589</v>
      </c>
      <c r="B27" s="217">
        <v>1</v>
      </c>
      <c r="C27" s="6"/>
      <c r="H27" s="6"/>
      <c r="I27" s="6"/>
      <c r="J27" s="6"/>
      <c r="K27" s="6"/>
      <c r="L27" s="6"/>
      <c r="M27" s="6"/>
    </row>
    <row r="28" spans="1:13" ht="15.75" thickBot="1" x14ac:dyDescent="0.3">
      <c r="A28" s="231" t="s">
        <v>674</v>
      </c>
      <c r="B28" s="232">
        <f>SUM(B22:B27)</f>
        <v>16</v>
      </c>
      <c r="C28" s="6"/>
      <c r="H28" s="6"/>
      <c r="I28" s="6"/>
      <c r="J28" s="6"/>
      <c r="K28" s="6"/>
      <c r="L28" s="6"/>
      <c r="M28" s="6"/>
    </row>
    <row r="29" spans="1:13" x14ac:dyDescent="0.25">
      <c r="A29" s="6"/>
      <c r="B29" s="6"/>
      <c r="C29" s="6"/>
      <c r="D29" s="6"/>
      <c r="E29" s="6"/>
      <c r="F29" s="6"/>
      <c r="G29" s="6"/>
      <c r="H29" s="6"/>
      <c r="I29" s="6"/>
      <c r="J29" s="6"/>
      <c r="K29" s="6"/>
      <c r="L29" s="6"/>
      <c r="M29" s="6"/>
    </row>
    <row r="30" spans="1:13" ht="20.100000000000001" customHeight="1" thickBot="1" x14ac:dyDescent="0.3">
      <c r="A30" s="209" t="s">
        <v>675</v>
      </c>
      <c r="B30" s="209"/>
      <c r="C30" s="209"/>
      <c r="D30" s="209"/>
      <c r="E30" s="209"/>
      <c r="F30" s="209"/>
      <c r="G30" s="209"/>
      <c r="H30" s="209"/>
      <c r="I30" s="209"/>
      <c r="J30" s="209"/>
      <c r="K30" s="6"/>
      <c r="L30" s="6"/>
      <c r="M30" s="6"/>
    </row>
    <row r="31" spans="1:13" ht="30" customHeight="1" x14ac:dyDescent="0.25">
      <c r="A31" s="235" t="s">
        <v>622</v>
      </c>
      <c r="B31" s="234" t="s">
        <v>676</v>
      </c>
      <c r="C31" s="234" t="s">
        <v>186</v>
      </c>
      <c r="D31" s="234" t="s">
        <v>545</v>
      </c>
      <c r="E31" s="234" t="s">
        <v>547</v>
      </c>
      <c r="F31" s="234" t="s">
        <v>677</v>
      </c>
      <c r="G31" s="234" t="s">
        <v>678</v>
      </c>
      <c r="H31" s="234" t="s">
        <v>679</v>
      </c>
      <c r="I31" s="234" t="s">
        <v>680</v>
      </c>
      <c r="J31" s="236" t="s">
        <v>626</v>
      </c>
      <c r="K31" s="6"/>
      <c r="L31" s="6"/>
      <c r="M31" s="6"/>
    </row>
    <row r="32" spans="1:13" x14ac:dyDescent="0.25">
      <c r="A32" s="237" t="str">
        <f>IF($B32="","",IFERROR(_xlfn.XLOOKUP($B32,$B$3:$B$20,$A$3:$A$20),""))</f>
        <v/>
      </c>
      <c r="B32" s="239"/>
      <c r="C32" s="184" t="str">
        <f>IF($B32="","",IFERROR(_xlfn.XLOOKUP($B32,$B$3:$B$20,$C$3:$C$20),""))</f>
        <v/>
      </c>
      <c r="D32" s="185" t="str">
        <f>IF($B32="","",IFERROR(_xlfn.XLOOKUP($B32,$B$3:$B$20,$D$3:$D$20),""))</f>
        <v/>
      </c>
      <c r="E32" s="197" t="str">
        <f>IF($B32="","",IFERROR(_xlfn.XLOOKUP($B32,$B$3:$B$20,$E$3:$E$20),""))</f>
        <v/>
      </c>
      <c r="F32" s="200" t="str">
        <f>IF($B32="","",IFERROR(_xlfn.XLOOKUP($B32,$B$3:$B$20,$F$3:$F$20),""))</f>
        <v/>
      </c>
      <c r="G32" s="200" t="str">
        <f>IF($B32="","",IFERROR(_xlfn.XLOOKUP($B32,$B$3:$B$20,$G$3:$G$20),""))</f>
        <v/>
      </c>
      <c r="H32" s="200" t="str">
        <f>IF($B32="","",IF(OR($B33="",$G32&lt;&gt;$G33),$G32,IF($G32=1,IF($E32&lt;=$E33,1,2),IF($E32&lt;=$E33,MAX(1,$G32-1),$G32))))</f>
        <v/>
      </c>
      <c r="I32" s="185" t="str">
        <f>IF($H32="","","Round "&amp;$H32)</f>
        <v/>
      </c>
      <c r="J32" s="241" t="str">
        <f>IF(OR($B32="",$F32=""),"",$F32-$H32)</f>
        <v/>
      </c>
      <c r="K32" s="6"/>
      <c r="L32" s="6"/>
      <c r="M32" s="6"/>
    </row>
    <row r="33" spans="1:13" x14ac:dyDescent="0.25">
      <c r="A33" s="238" t="str">
        <f>IF($B33="","",IFERROR(_xlfn.XLOOKUP($B33,$B$3:$B$20,$A$3:$A$20),""))</f>
        <v/>
      </c>
      <c r="B33" s="240"/>
      <c r="C33" s="186" t="str">
        <f>IF($B33="","",IFERROR(_xlfn.XLOOKUP($B33,$B$3:$B$20,$C$3:$C$20),""))</f>
        <v/>
      </c>
      <c r="D33" s="187" t="str">
        <f>IF($B33="","",IFERROR(_xlfn.XLOOKUP($B33,$B$3:$B$20,$D$3:$D$20),""))</f>
        <v/>
      </c>
      <c r="E33" s="198" t="str">
        <f>IF($B33="","",IFERROR(_xlfn.XLOOKUP($B33,$B$3:$B$20,$E$3:$E$20),""))</f>
        <v/>
      </c>
      <c r="F33" s="201" t="str">
        <f>IF($B33="","",IFERROR(_xlfn.XLOOKUP($B33,$B$3:$B$20,$F$3:$F$20),""))</f>
        <v/>
      </c>
      <c r="G33" s="201" t="str">
        <f>IF($B33="","",IFERROR(_xlfn.XLOOKUP($B33,$B$3:$B$20,$G$3:$G$20),""))</f>
        <v/>
      </c>
      <c r="H33" s="201" t="str">
        <f>IF($B33="","",IF(OR($B32="",$G33&lt;&gt;$G32),$G33,IF($G33=1,IF($E33&lt;=$E32,1,2),IF($E33&lt;=$E32,MAX(1,$G33-1),$G33))))</f>
        <v/>
      </c>
      <c r="I33" s="187" t="str">
        <f>IF($H33="","","Round "&amp;$H33)</f>
        <v/>
      </c>
      <c r="J33" s="242" t="str">
        <f>IF(OR($B33="",$F33=""),"",$F33-$H33)</f>
        <v/>
      </c>
      <c r="K33" s="6"/>
      <c r="L33" s="6"/>
      <c r="M33" s="6"/>
    </row>
    <row r="34" spans="1:13" ht="15.75" thickBot="1" x14ac:dyDescent="0.3">
      <c r="A34" s="248" t="s">
        <v>681</v>
      </c>
      <c r="B34" s="243"/>
      <c r="C34" s="244"/>
      <c r="D34" s="244"/>
      <c r="E34" s="244"/>
      <c r="F34" s="244"/>
      <c r="G34" s="245" t="str">
        <f>IF(COUNT($G$32:$G$33)=0,"",SUM($G$32:$G$33))</f>
        <v/>
      </c>
      <c r="H34" s="245" t="str">
        <f>IF(COUNT($H$32:$H$33)=0,"",SUM($H$32:$H$33))</f>
        <v/>
      </c>
      <c r="I34" s="246"/>
      <c r="J34" s="247" t="str">
        <f>IF(COUNT($J$32:$J$33)=0,"",SUM($J$32:$J$33))</f>
        <v/>
      </c>
      <c r="K34" s="6"/>
      <c r="L34" s="6"/>
      <c r="M34" s="6"/>
    </row>
    <row r="35" spans="1:13" ht="15.75" thickBot="1" x14ac:dyDescent="0.3">
      <c r="A35" s="6"/>
      <c r="B35" s="6"/>
      <c r="C35" s="6"/>
      <c r="D35" s="6"/>
      <c r="E35" s="6"/>
      <c r="F35" s="6"/>
      <c r="G35" s="6"/>
      <c r="H35" s="6"/>
      <c r="I35" s="6"/>
      <c r="J35" s="6"/>
      <c r="K35" s="6"/>
      <c r="L35" s="6"/>
      <c r="M35" s="6"/>
    </row>
    <row r="36" spans="1:13" ht="20.100000000000001" customHeight="1" x14ac:dyDescent="0.25">
      <c r="A36" s="211" t="s">
        <v>682</v>
      </c>
      <c r="B36" s="210"/>
      <c r="C36" s="210"/>
      <c r="D36" s="210"/>
      <c r="E36" s="210"/>
      <c r="F36" s="210"/>
      <c r="G36" s="210"/>
      <c r="H36" s="210"/>
      <c r="I36" s="210"/>
      <c r="J36" s="215"/>
      <c r="K36" s="6"/>
      <c r="L36" s="6"/>
      <c r="M36" s="6"/>
    </row>
    <row r="37" spans="1:13" ht="30" customHeight="1" x14ac:dyDescent="0.25">
      <c r="A37" s="252" t="s">
        <v>683</v>
      </c>
      <c r="B37" s="249"/>
      <c r="C37" s="249"/>
      <c r="D37" s="249"/>
      <c r="E37" s="249"/>
      <c r="F37" s="249"/>
      <c r="G37" s="249"/>
      <c r="H37" s="249"/>
      <c r="I37" s="249"/>
      <c r="J37" s="255"/>
      <c r="K37" s="6"/>
      <c r="L37" s="6"/>
      <c r="M37" s="6"/>
    </row>
    <row r="38" spans="1:13" ht="30" customHeight="1" x14ac:dyDescent="0.25">
      <c r="A38" s="253" t="s">
        <v>684</v>
      </c>
      <c r="B38" s="250"/>
      <c r="C38" s="250"/>
      <c r="D38" s="250"/>
      <c r="E38" s="250"/>
      <c r="F38" s="250"/>
      <c r="G38" s="250"/>
      <c r="H38" s="250"/>
      <c r="I38" s="250"/>
      <c r="J38" s="256"/>
      <c r="K38" s="6"/>
      <c r="L38" s="6"/>
      <c r="M38" s="6"/>
    </row>
    <row r="39" spans="1:13" ht="30" customHeight="1" x14ac:dyDescent="0.25">
      <c r="A39" s="252" t="s">
        <v>685</v>
      </c>
      <c r="B39" s="249"/>
      <c r="C39" s="249"/>
      <c r="D39" s="249"/>
      <c r="E39" s="249"/>
      <c r="F39" s="249"/>
      <c r="G39" s="249"/>
      <c r="H39" s="249"/>
      <c r="I39" s="249"/>
      <c r="J39" s="255"/>
      <c r="K39" s="6"/>
      <c r="L39" s="6"/>
      <c r="M39" s="6"/>
    </row>
    <row r="40" spans="1:13" ht="15.95" customHeight="1" x14ac:dyDescent="0.25">
      <c r="A40" s="253" t="str" cm="1">
        <f t="array" ref="A40">"Rounds traded away: "&amp;_xlfn.LET(_xlpm.sl,MATCH(TRUE,EXACT('Draft Order-Traded Picks'!$B$2:$K$2,$M$13),0),_xlpm.g,INDEX('Draft Order-Traded Picks'!$B$3:$K$18,_xlfn.SEQUENCE(16),_xlpm.sl),IF(SUMPRODUCT(--(_xlpm.g&lt;&gt;""))=0,"none",_xlfn.TEXTJOIN(", ",TRUE,IF(_xlpm.g&lt;&gt;"","Rd "&amp;_xlfn.SEQUENCE(16),""))))</f>
        <v>Rounds traded away: Rd 2</v>
      </c>
      <c r="B40" s="250"/>
      <c r="C40" s="250"/>
      <c r="D40" s="250"/>
      <c r="E40" s="250"/>
      <c r="F40" s="250"/>
      <c r="G40" s="250"/>
      <c r="H40" s="250"/>
      <c r="I40" s="250"/>
      <c r="J40" s="256"/>
      <c r="K40" s="6"/>
      <c r="L40" s="6"/>
      <c r="M40" s="6"/>
    </row>
    <row r="41" spans="1:13" ht="15.95" customHeight="1" x14ac:dyDescent="0.25">
      <c r="A41" s="252" t="str" cm="1">
        <f t="array" ref="A41">"Rounds acquired: "&amp;_xlfn.LET(_xlpm.m,MMULT(--EXACT('Draft Order-Traded Picks'!$B$3:$K$18,$M$12),_xlfn.SEQUENCE(10,1,1,0)),IF(SUM(_xlpm.m)=0,"none",_xlfn.TEXTJOIN(", ",TRUE,IF(_xlpm.m&gt;0,"Rd "&amp;_xlfn.SEQUENCE(16)&amp;IF(_xlpm.m&gt;1," (x"&amp;_xlpm.m&amp;")",""),""))&amp;"  -  "&amp;SUM(_xlpm.m)&amp;" pick(s) total"))</f>
        <v>Rounds acquired: Rd 11  -  1 pick(s) total</v>
      </c>
      <c r="B41" s="249"/>
      <c r="C41" s="249"/>
      <c r="D41" s="249"/>
      <c r="E41" s="249"/>
      <c r="F41" s="249"/>
      <c r="G41" s="249"/>
      <c r="H41" s="249"/>
      <c r="I41" s="249"/>
      <c r="J41" s="255"/>
      <c r="K41" s="6"/>
      <c r="L41" s="6"/>
      <c r="M41" s="6"/>
    </row>
    <row r="42" spans="1:13" ht="30" customHeight="1" thickBot="1" x14ac:dyDescent="0.3">
      <c r="A42" s="254" t="s">
        <v>696</v>
      </c>
      <c r="B42" s="251"/>
      <c r="C42" s="251"/>
      <c r="D42" s="251"/>
      <c r="E42" s="251"/>
      <c r="F42" s="251"/>
      <c r="G42" s="251"/>
      <c r="H42" s="251"/>
      <c r="I42" s="251"/>
      <c r="J42" s="257"/>
      <c r="K42" s="6"/>
      <c r="L42" s="6"/>
      <c r="M42" s="6"/>
    </row>
  </sheetData>
  <mergeCells count="11">
    <mergeCell ref="A37:J37"/>
    <mergeCell ref="A38:J38"/>
    <mergeCell ref="A39:J39"/>
    <mergeCell ref="A40:J40"/>
    <mergeCell ref="A41:J41"/>
    <mergeCell ref="A42:J42"/>
    <mergeCell ref="A1:J1"/>
    <mergeCell ref="L2:M2"/>
    <mergeCell ref="A21:B21"/>
    <mergeCell ref="A30:J30"/>
    <mergeCell ref="A36:J36"/>
  </mergeCells>
  <conditionalFormatting sqref="A3:J20">
    <cfRule type="expression" dxfId="73" priority="1">
      <formula>AND($B3&lt;&gt;"",MOD(ROW(),2)=0)</formula>
    </cfRule>
  </conditionalFormatting>
  <conditionalFormatting sqref="C3:C20">
    <cfRule type="containsText" dxfId="72" priority="2" operator="containsText" text="QB">
      <formula>NOT(ISERROR(SEARCH("QB",C3)))</formula>
    </cfRule>
  </conditionalFormatting>
  <conditionalFormatting sqref="C3:C20">
    <cfRule type="containsText" dxfId="71" priority="3" operator="containsText" text="RB">
      <formula>NOT(ISERROR(SEARCH("RB",C3)))</formula>
    </cfRule>
  </conditionalFormatting>
  <conditionalFormatting sqref="C3:C20">
    <cfRule type="containsText" dxfId="70" priority="4" operator="containsText" text="WR">
      <formula>NOT(ISERROR(SEARCH("WR",C3)))</formula>
    </cfRule>
  </conditionalFormatting>
  <conditionalFormatting sqref="C3:C20">
    <cfRule type="containsText" dxfId="69" priority="5" operator="containsText" text="TE">
      <formula>NOT(ISERROR(SEARCH("TE",C3)))</formula>
    </cfRule>
  </conditionalFormatting>
  <conditionalFormatting sqref="C3:C20">
    <cfRule type="containsText" dxfId="68" priority="6" operator="containsText" text="K">
      <formula>NOT(ISERROR(SEARCH("K",C3)))</formula>
    </cfRule>
  </conditionalFormatting>
  <conditionalFormatting sqref="C3:C20">
    <cfRule type="containsText" dxfId="67" priority="7" operator="containsText" text="DEF">
      <formula>NOT(ISERROR(SEARCH("DEF",C3)))</formula>
    </cfRule>
  </conditionalFormatting>
  <conditionalFormatting sqref="C32:C33">
    <cfRule type="containsText" dxfId="66" priority="8" operator="containsText" text="QB">
      <formula>NOT(ISERROR(SEARCH("QB",C32)))</formula>
    </cfRule>
  </conditionalFormatting>
  <conditionalFormatting sqref="C32:C33">
    <cfRule type="containsText" dxfId="65" priority="9" operator="containsText" text="RB">
      <formula>NOT(ISERROR(SEARCH("RB",C32)))</formula>
    </cfRule>
  </conditionalFormatting>
  <conditionalFormatting sqref="C32:C33">
    <cfRule type="containsText" dxfId="64" priority="10" operator="containsText" text="WR">
      <formula>NOT(ISERROR(SEARCH("WR",C32)))</formula>
    </cfRule>
  </conditionalFormatting>
  <conditionalFormatting sqref="C32:C33">
    <cfRule type="containsText" dxfId="63" priority="11" operator="containsText" text="TE">
      <formula>NOT(ISERROR(SEARCH("TE",C32)))</formula>
    </cfRule>
  </conditionalFormatting>
  <conditionalFormatting sqref="C32:C33">
    <cfRule type="containsText" dxfId="62" priority="12" operator="containsText" text="K">
      <formula>NOT(ISERROR(SEARCH("K",C32)))</formula>
    </cfRule>
  </conditionalFormatting>
  <conditionalFormatting sqref="C32:C33">
    <cfRule type="containsText" dxfId="61" priority="13" operator="containsText" text="DEF">
      <formula>NOT(ISERROR(SEARCH("DEF",C32)))</formula>
    </cfRule>
  </conditionalFormatting>
  <conditionalFormatting sqref="I3:I20">
    <cfRule type="expression" dxfId="60" priority="14">
      <formula>$I3&lt;&gt;""</formula>
    </cfRule>
  </conditionalFormatting>
  <conditionalFormatting sqref="J3:J20">
    <cfRule type="expression" dxfId="59" priority="15">
      <formula>ISNUMBER(SEARCH("Waiver",$J3))</formula>
    </cfRule>
  </conditionalFormatting>
  <conditionalFormatting sqref="H32:H33">
    <cfRule type="expression" dxfId="58" priority="20">
      <formula>AND($B32&lt;&gt;"",$H32&lt;&gt;$G32)</formula>
    </cfRule>
  </conditionalFormatting>
  <conditionalFormatting sqref="B32:B33">
    <cfRule type="expression" dxfId="57" priority="21">
      <formula>AND($B32&lt;&gt;"",COUNTIF($B$32:$B$33,$B32)&gt;1)</formula>
    </cfRule>
  </conditionalFormatting>
  <conditionalFormatting sqref="H3:H20">
    <cfRule type="expression" dxfId="7" priority="22">
      <formula>AND(ISNUMBER($H3),$H3&gt;0)</formula>
    </cfRule>
  </conditionalFormatting>
  <conditionalFormatting sqref="H3:H20">
    <cfRule type="expression" dxfId="6" priority="23">
      <formula>AND(ISNUMBER($H3),$H3&lt;0)</formula>
    </cfRule>
  </conditionalFormatting>
  <conditionalFormatting sqref="J32:J34">
    <cfRule type="expression" dxfId="5" priority="24">
      <formula>AND(ISNUMBER($J32),$J32&gt;0)</formula>
    </cfRule>
  </conditionalFormatting>
  <conditionalFormatting sqref="J32:J34">
    <cfRule type="expression" dxfId="4" priority="25">
      <formula>AND(ISNUMBER($J32),$J32&lt;0)</formula>
    </cfRule>
  </conditionalFormatting>
  <dataValidations count="1">
    <dataValidation type="list" allowBlank="1" showInputMessage="1" showErrorMessage="1" errorTitle="Not on this roster" error="Pick a player from this team's roster list above." promptTitle="Keeper selection" prompt="Choose one of this team's players. Keeper cost and value update automatically." sqref="B32:B33" xr:uid="{261BE674-F388-4553-A975-5804F4BA7B74}">
      <formula1>$B$3:$B$20</formula1>
    </dataValidation>
  </dataValidations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D973FAB-06AD-4B75-8A92-D9EBB41AFABD}">
  <sheetPr>
    <tabColor rgb="FF1F4E79"/>
  </sheetPr>
  <dimension ref="A1:M42"/>
  <sheetViews>
    <sheetView workbookViewId="0">
      <pane ySplit="2" topLeftCell="A3" activePane="bottomLeft" state="frozen"/>
      <selection pane="bottomLeft" activeCell="B3" sqref="B3:B20"/>
    </sheetView>
  </sheetViews>
  <sheetFormatPr defaultRowHeight="15" x14ac:dyDescent="0.25"/>
  <cols>
    <col min="1" max="1" width="21.5703125" customWidth="1"/>
    <col min="2" max="2" width="41.85546875" customWidth="1"/>
    <col min="3" max="3" width="12.7109375" customWidth="1"/>
    <col min="4" max="4" width="29.140625" customWidth="1"/>
    <col min="5" max="5" width="25.28515625" customWidth="1"/>
    <col min="6" max="6" width="21.5703125" customWidth="1"/>
    <col min="7" max="7" width="25.28515625" customWidth="1"/>
    <col min="8" max="8" width="20.42578125" customWidth="1"/>
    <col min="9" max="9" width="24.140625" customWidth="1"/>
    <col min="10" max="10" width="35.5703125" customWidth="1"/>
    <col min="11" max="11" width="4.5703125" customWidth="1"/>
    <col min="12" max="12" width="38.140625" customWidth="1"/>
    <col min="13" max="13" width="33" customWidth="1"/>
  </cols>
  <sheetData>
    <row r="1" spans="1:13" ht="30" customHeight="1" thickBot="1" x14ac:dyDescent="0.3">
      <c r="A1" s="183" t="s">
        <v>694</v>
      </c>
      <c r="B1" s="183"/>
      <c r="C1" s="183"/>
      <c r="D1" s="183"/>
      <c r="E1" s="183"/>
      <c r="F1" s="183"/>
      <c r="G1" s="183"/>
      <c r="H1" s="183"/>
      <c r="I1" s="183"/>
      <c r="J1" s="183"/>
      <c r="K1" s="6"/>
      <c r="L1" s="6"/>
      <c r="M1" s="6"/>
    </row>
    <row r="2" spans="1:13" ht="42" customHeight="1" x14ac:dyDescent="0.25">
      <c r="A2" s="191" t="s">
        <v>622</v>
      </c>
      <c r="B2" s="189" t="s">
        <v>354</v>
      </c>
      <c r="C2" s="189" t="s">
        <v>186</v>
      </c>
      <c r="D2" s="189" t="s">
        <v>545</v>
      </c>
      <c r="E2" s="189" t="s">
        <v>623</v>
      </c>
      <c r="F2" s="189" t="s">
        <v>624</v>
      </c>
      <c r="G2" s="189" t="s">
        <v>625</v>
      </c>
      <c r="H2" s="189" t="s">
        <v>626</v>
      </c>
      <c r="I2" s="189" t="s">
        <v>627</v>
      </c>
      <c r="J2" s="192" t="s">
        <v>628</v>
      </c>
      <c r="K2" s="6"/>
      <c r="L2" s="211" t="s">
        <v>661</v>
      </c>
      <c r="M2" s="215"/>
    </row>
    <row r="3" spans="1:13" x14ac:dyDescent="0.25">
      <c r="A3" s="193" t="s">
        <v>630</v>
      </c>
      <c r="B3" s="195" t="s">
        <v>132</v>
      </c>
      <c r="C3" s="185" t="s">
        <v>575</v>
      </c>
      <c r="D3" s="185" t="s">
        <v>580</v>
      </c>
      <c r="E3" s="197">
        <v>83.7</v>
      </c>
      <c r="F3" s="200">
        <v>9</v>
      </c>
      <c r="G3" s="200">
        <v>8</v>
      </c>
      <c r="H3" s="203">
        <v>-1</v>
      </c>
      <c r="I3" s="185"/>
      <c r="J3" s="206" t="s">
        <v>631</v>
      </c>
      <c r="K3" s="6"/>
      <c r="L3" s="212" t="s">
        <v>662</v>
      </c>
      <c r="M3" s="216">
        <v>18</v>
      </c>
    </row>
    <row r="4" spans="1:13" x14ac:dyDescent="0.25">
      <c r="A4" s="194" t="s">
        <v>630</v>
      </c>
      <c r="B4" s="196" t="s">
        <v>384</v>
      </c>
      <c r="C4" s="187" t="s">
        <v>575</v>
      </c>
      <c r="D4" s="187" t="s">
        <v>571</v>
      </c>
      <c r="E4" s="198">
        <v>98.3</v>
      </c>
      <c r="F4" s="201">
        <v>10</v>
      </c>
      <c r="G4" s="201">
        <v>8</v>
      </c>
      <c r="H4" s="204">
        <v>-2</v>
      </c>
      <c r="I4" s="187"/>
      <c r="J4" s="207" t="s">
        <v>631</v>
      </c>
      <c r="K4" s="6"/>
      <c r="L4" s="213" t="s">
        <v>663</v>
      </c>
      <c r="M4" s="217">
        <v>1</v>
      </c>
    </row>
    <row r="5" spans="1:13" x14ac:dyDescent="0.25">
      <c r="A5" s="194" t="s">
        <v>632</v>
      </c>
      <c r="B5" s="196" t="s">
        <v>94</v>
      </c>
      <c r="C5" s="187" t="s">
        <v>187</v>
      </c>
      <c r="D5" s="187" t="s">
        <v>551</v>
      </c>
      <c r="E5" s="198">
        <v>1.8</v>
      </c>
      <c r="F5" s="201">
        <v>1</v>
      </c>
      <c r="G5" s="201">
        <v>1</v>
      </c>
      <c r="H5" s="204">
        <v>0</v>
      </c>
      <c r="I5" s="187"/>
      <c r="J5" s="207" t="s">
        <v>634</v>
      </c>
      <c r="K5" s="6"/>
      <c r="L5" s="212" t="s">
        <v>664</v>
      </c>
      <c r="M5" s="218">
        <v>71.658333333333303</v>
      </c>
    </row>
    <row r="6" spans="1:13" x14ac:dyDescent="0.25">
      <c r="A6" s="194" t="s">
        <v>643</v>
      </c>
      <c r="B6" s="196" t="s">
        <v>135</v>
      </c>
      <c r="C6" s="187" t="s">
        <v>187</v>
      </c>
      <c r="D6" s="187" t="s">
        <v>553</v>
      </c>
      <c r="E6" s="198">
        <v>13.3</v>
      </c>
      <c r="F6" s="201">
        <v>2</v>
      </c>
      <c r="G6" s="201">
        <v>2</v>
      </c>
      <c r="H6" s="204">
        <v>0</v>
      </c>
      <c r="I6" s="187"/>
      <c r="J6" s="207" t="s">
        <v>634</v>
      </c>
      <c r="K6" s="6"/>
      <c r="L6" s="213" t="s">
        <v>665</v>
      </c>
      <c r="M6" s="219">
        <v>7</v>
      </c>
    </row>
    <row r="7" spans="1:13" x14ac:dyDescent="0.25">
      <c r="A7" s="194" t="s">
        <v>641</v>
      </c>
      <c r="B7" s="196" t="s">
        <v>213</v>
      </c>
      <c r="C7" s="187" t="s">
        <v>187</v>
      </c>
      <c r="D7" s="187" t="s">
        <v>568</v>
      </c>
      <c r="E7" s="198">
        <v>150.4</v>
      </c>
      <c r="F7" s="201">
        <v>16</v>
      </c>
      <c r="G7" s="201">
        <v>14</v>
      </c>
      <c r="H7" s="204">
        <v>-2</v>
      </c>
      <c r="I7" s="187"/>
      <c r="J7" s="207" t="s">
        <v>634</v>
      </c>
      <c r="K7" s="6"/>
      <c r="L7" s="212" t="s">
        <v>666</v>
      </c>
      <c r="M7" s="216" t="s">
        <v>115</v>
      </c>
    </row>
    <row r="8" spans="1:13" x14ac:dyDescent="0.25">
      <c r="A8" s="194" t="s">
        <v>630</v>
      </c>
      <c r="B8" s="196" t="s">
        <v>148</v>
      </c>
      <c r="C8" s="187" t="s">
        <v>187</v>
      </c>
      <c r="D8" s="187" t="s">
        <v>571</v>
      </c>
      <c r="E8" s="198">
        <v>151.4</v>
      </c>
      <c r="F8" s="201">
        <v>16</v>
      </c>
      <c r="G8" s="201">
        <v>8</v>
      </c>
      <c r="H8" s="204">
        <v>-8</v>
      </c>
      <c r="I8" s="187"/>
      <c r="J8" s="207" t="s">
        <v>631</v>
      </c>
      <c r="K8" s="6"/>
      <c r="L8" s="213" t="s">
        <v>667</v>
      </c>
      <c r="M8" s="217">
        <v>6</v>
      </c>
    </row>
    <row r="9" spans="1:13" ht="15.75" thickBot="1" x14ac:dyDescent="0.3">
      <c r="A9" s="194" t="s">
        <v>645</v>
      </c>
      <c r="B9" s="196" t="s">
        <v>5</v>
      </c>
      <c r="C9" s="187" t="s">
        <v>187</v>
      </c>
      <c r="D9" s="187" t="s">
        <v>695</v>
      </c>
      <c r="E9" s="198"/>
      <c r="F9" s="201"/>
      <c r="G9" s="201">
        <v>11</v>
      </c>
      <c r="H9" s="204"/>
      <c r="I9" s="187"/>
      <c r="J9" s="207" t="s">
        <v>634</v>
      </c>
      <c r="K9" s="6"/>
      <c r="L9" s="214" t="s">
        <v>668</v>
      </c>
      <c r="M9" s="220">
        <v>8</v>
      </c>
    </row>
    <row r="10" spans="1:13" x14ac:dyDescent="0.25">
      <c r="A10" s="194" t="s">
        <v>649</v>
      </c>
      <c r="B10" s="196" t="s">
        <v>115</v>
      </c>
      <c r="C10" s="187" t="s">
        <v>191</v>
      </c>
      <c r="D10" s="187" t="s">
        <v>554</v>
      </c>
      <c r="E10" s="198">
        <v>5.4</v>
      </c>
      <c r="F10" s="201">
        <v>1</v>
      </c>
      <c r="G10" s="201">
        <v>8</v>
      </c>
      <c r="H10" s="204">
        <v>7</v>
      </c>
      <c r="I10" s="187" t="s">
        <v>633</v>
      </c>
      <c r="J10" s="207" t="s">
        <v>634</v>
      </c>
      <c r="K10" s="6"/>
      <c r="L10" s="6"/>
      <c r="M10" s="6"/>
    </row>
    <row r="11" spans="1:13" x14ac:dyDescent="0.25">
      <c r="A11" s="194" t="s">
        <v>642</v>
      </c>
      <c r="B11" s="196" t="s">
        <v>76</v>
      </c>
      <c r="C11" s="187" t="s">
        <v>191</v>
      </c>
      <c r="D11" s="187" t="s">
        <v>565</v>
      </c>
      <c r="E11" s="198">
        <v>28.7</v>
      </c>
      <c r="F11" s="201">
        <v>3</v>
      </c>
      <c r="G11" s="201">
        <v>5</v>
      </c>
      <c r="H11" s="204">
        <v>2</v>
      </c>
      <c r="I11" s="187"/>
      <c r="J11" s="207" t="s">
        <v>634</v>
      </c>
      <c r="K11" s="6"/>
      <c r="L11" s="221" t="s">
        <v>669</v>
      </c>
      <c r="M11" s="221" t="s">
        <v>655</v>
      </c>
    </row>
    <row r="12" spans="1:13" x14ac:dyDescent="0.25">
      <c r="A12" s="194" t="s">
        <v>646</v>
      </c>
      <c r="B12" s="196" t="s">
        <v>210</v>
      </c>
      <c r="C12" s="187" t="s">
        <v>191</v>
      </c>
      <c r="D12" s="187" t="s">
        <v>552</v>
      </c>
      <c r="E12" s="198">
        <v>41.2</v>
      </c>
      <c r="F12" s="201">
        <v>5</v>
      </c>
      <c r="G12" s="201">
        <v>4</v>
      </c>
      <c r="H12" s="204">
        <v>-1</v>
      </c>
      <c r="I12" s="187"/>
      <c r="J12" s="207" t="s">
        <v>634</v>
      </c>
      <c r="K12" s="6"/>
      <c r="L12" s="221" t="s">
        <v>670</v>
      </c>
      <c r="M12" s="221" t="s">
        <v>355</v>
      </c>
    </row>
    <row r="13" spans="1:13" ht="23.25" x14ac:dyDescent="0.25">
      <c r="A13" s="194" t="s">
        <v>638</v>
      </c>
      <c r="B13" s="196" t="s">
        <v>212</v>
      </c>
      <c r="C13" s="187" t="s">
        <v>191</v>
      </c>
      <c r="D13" s="187" t="s">
        <v>578</v>
      </c>
      <c r="E13" s="198">
        <v>84.2</v>
      </c>
      <c r="F13" s="201">
        <v>9</v>
      </c>
      <c r="G13" s="201">
        <v>12</v>
      </c>
      <c r="H13" s="204">
        <v>3</v>
      </c>
      <c r="I13" s="187"/>
      <c r="J13" s="207" t="s">
        <v>634</v>
      </c>
      <c r="K13" s="6"/>
      <c r="L13" s="221" t="s">
        <v>671</v>
      </c>
      <c r="M13" s="222" t="s">
        <v>243</v>
      </c>
    </row>
    <row r="14" spans="1:13" x14ac:dyDescent="0.25">
      <c r="A14" s="194" t="s">
        <v>630</v>
      </c>
      <c r="B14" s="196" t="s">
        <v>96</v>
      </c>
      <c r="C14" s="187" t="s">
        <v>191</v>
      </c>
      <c r="D14" s="187" t="s">
        <v>566</v>
      </c>
      <c r="E14" s="198">
        <v>93.2</v>
      </c>
      <c r="F14" s="201">
        <v>10</v>
      </c>
      <c r="G14" s="201">
        <v>8</v>
      </c>
      <c r="H14" s="204">
        <v>-2</v>
      </c>
      <c r="I14" s="187"/>
      <c r="J14" s="207" t="s">
        <v>631</v>
      </c>
      <c r="K14" s="6"/>
      <c r="L14" s="6"/>
      <c r="M14" s="6"/>
    </row>
    <row r="15" spans="1:13" x14ac:dyDescent="0.25">
      <c r="A15" s="194" t="s">
        <v>630</v>
      </c>
      <c r="B15" s="196" t="s">
        <v>4</v>
      </c>
      <c r="C15" s="187" t="s">
        <v>191</v>
      </c>
      <c r="D15" s="187" t="s">
        <v>566</v>
      </c>
      <c r="E15" s="198"/>
      <c r="F15" s="201"/>
      <c r="G15" s="201">
        <v>8</v>
      </c>
      <c r="H15" s="204"/>
      <c r="I15" s="187"/>
      <c r="J15" s="207" t="s">
        <v>631</v>
      </c>
      <c r="K15" s="6"/>
      <c r="L15" s="6"/>
      <c r="M15" s="6"/>
    </row>
    <row r="16" spans="1:13" x14ac:dyDescent="0.25">
      <c r="A16" s="194" t="s">
        <v>635</v>
      </c>
      <c r="B16" s="196" t="s">
        <v>6</v>
      </c>
      <c r="C16" s="187" t="s">
        <v>191</v>
      </c>
      <c r="D16" s="187" t="s">
        <v>557</v>
      </c>
      <c r="E16" s="198"/>
      <c r="F16" s="201"/>
      <c r="G16" s="201">
        <v>3</v>
      </c>
      <c r="H16" s="204"/>
      <c r="I16" s="187"/>
      <c r="J16" s="207" t="s">
        <v>634</v>
      </c>
      <c r="K16" s="6"/>
      <c r="L16" s="6"/>
      <c r="M16" s="6"/>
    </row>
    <row r="17" spans="1:13" x14ac:dyDescent="0.25">
      <c r="A17" s="194" t="s">
        <v>637</v>
      </c>
      <c r="B17" s="196" t="s">
        <v>1</v>
      </c>
      <c r="C17" s="187" t="s">
        <v>576</v>
      </c>
      <c r="D17" s="187" t="s">
        <v>561</v>
      </c>
      <c r="E17" s="198">
        <v>108.3</v>
      </c>
      <c r="F17" s="201">
        <v>11</v>
      </c>
      <c r="G17" s="201">
        <v>6</v>
      </c>
      <c r="H17" s="204">
        <v>-5</v>
      </c>
      <c r="I17" s="187"/>
      <c r="J17" s="207" t="s">
        <v>634</v>
      </c>
      <c r="K17" s="6"/>
      <c r="L17" s="6"/>
      <c r="M17" s="6"/>
    </row>
    <row r="18" spans="1:13" x14ac:dyDescent="0.25">
      <c r="A18" s="194" t="s">
        <v>630</v>
      </c>
      <c r="B18" s="196" t="s">
        <v>383</v>
      </c>
      <c r="C18" s="187" t="s">
        <v>576</v>
      </c>
      <c r="D18" s="187" t="s">
        <v>554</v>
      </c>
      <c r="E18" s="198"/>
      <c r="F18" s="201"/>
      <c r="G18" s="201">
        <v>8</v>
      </c>
      <c r="H18" s="204"/>
      <c r="I18" s="187"/>
      <c r="J18" s="207" t="s">
        <v>631</v>
      </c>
      <c r="K18" s="6"/>
      <c r="L18" s="6"/>
      <c r="M18" s="6"/>
    </row>
    <row r="19" spans="1:13" x14ac:dyDescent="0.25">
      <c r="A19" s="194" t="s">
        <v>630</v>
      </c>
      <c r="B19" s="196" t="s">
        <v>150</v>
      </c>
      <c r="C19" s="187" t="s">
        <v>673</v>
      </c>
      <c r="D19" s="187" t="s">
        <v>584</v>
      </c>
      <c r="E19" s="198"/>
      <c r="F19" s="201"/>
      <c r="G19" s="201">
        <v>8</v>
      </c>
      <c r="H19" s="204"/>
      <c r="I19" s="187"/>
      <c r="J19" s="207" t="s">
        <v>631</v>
      </c>
      <c r="K19" s="6"/>
      <c r="L19" s="6"/>
      <c r="M19" s="6"/>
    </row>
    <row r="20" spans="1:13" ht="15.75" thickBot="1" x14ac:dyDescent="0.3">
      <c r="A20" s="223" t="s">
        <v>630</v>
      </c>
      <c r="B20" s="224" t="s">
        <v>385</v>
      </c>
      <c r="C20" s="190" t="s">
        <v>589</v>
      </c>
      <c r="D20" s="188" t="s">
        <v>554</v>
      </c>
      <c r="E20" s="233"/>
      <c r="F20" s="202"/>
      <c r="G20" s="202">
        <v>8</v>
      </c>
      <c r="H20" s="205"/>
      <c r="I20" s="190"/>
      <c r="J20" s="208" t="s">
        <v>631</v>
      </c>
      <c r="K20" s="6"/>
      <c r="L20" s="6"/>
      <c r="M20" s="6"/>
    </row>
    <row r="21" spans="1:13" ht="20.100000000000001" customHeight="1" x14ac:dyDescent="0.25">
      <c r="A21" s="211" t="s">
        <v>672</v>
      </c>
      <c r="B21" s="215"/>
      <c r="C21" s="6"/>
      <c r="H21" s="6"/>
      <c r="I21" s="6"/>
      <c r="J21" s="6"/>
      <c r="K21" s="6"/>
      <c r="L21" s="6"/>
      <c r="M21" s="6"/>
    </row>
    <row r="22" spans="1:13" x14ac:dyDescent="0.25">
      <c r="A22" s="225" t="s">
        <v>575</v>
      </c>
      <c r="B22" s="216">
        <v>2</v>
      </c>
      <c r="C22" s="6"/>
      <c r="H22" s="6"/>
      <c r="I22" s="6"/>
      <c r="J22" s="6"/>
      <c r="K22" s="6"/>
      <c r="L22" s="6"/>
      <c r="M22" s="6"/>
    </row>
    <row r="23" spans="1:13" x14ac:dyDescent="0.25">
      <c r="A23" s="226" t="s">
        <v>187</v>
      </c>
      <c r="B23" s="217">
        <v>5</v>
      </c>
      <c r="C23" s="6"/>
      <c r="H23" s="6"/>
      <c r="I23" s="6"/>
      <c r="J23" s="6"/>
      <c r="K23" s="6"/>
      <c r="L23" s="6"/>
      <c r="M23" s="6"/>
    </row>
    <row r="24" spans="1:13" x14ac:dyDescent="0.25">
      <c r="A24" s="227" t="s">
        <v>191</v>
      </c>
      <c r="B24" s="216">
        <v>7</v>
      </c>
      <c r="C24" s="6"/>
      <c r="H24" s="6"/>
      <c r="I24" s="6"/>
      <c r="J24" s="6"/>
      <c r="K24" s="6"/>
      <c r="L24" s="6"/>
      <c r="M24" s="6"/>
    </row>
    <row r="25" spans="1:13" x14ac:dyDescent="0.25">
      <c r="A25" s="228" t="s">
        <v>576</v>
      </c>
      <c r="B25" s="217">
        <v>2</v>
      </c>
      <c r="C25" s="6"/>
      <c r="H25" s="6"/>
      <c r="I25" s="6"/>
      <c r="J25" s="6"/>
      <c r="K25" s="6"/>
      <c r="L25" s="6"/>
      <c r="M25" s="6"/>
    </row>
    <row r="26" spans="1:13" x14ac:dyDescent="0.25">
      <c r="A26" s="229" t="s">
        <v>673</v>
      </c>
      <c r="B26" s="216">
        <v>1</v>
      </c>
      <c r="C26" s="6"/>
      <c r="H26" s="6"/>
      <c r="I26" s="6"/>
      <c r="J26" s="6"/>
      <c r="K26" s="6"/>
      <c r="L26" s="6"/>
      <c r="M26" s="6"/>
    </row>
    <row r="27" spans="1:13" x14ac:dyDescent="0.25">
      <c r="A27" s="230" t="s">
        <v>589</v>
      </c>
      <c r="B27" s="217">
        <v>1</v>
      </c>
      <c r="C27" s="6"/>
      <c r="H27" s="6"/>
      <c r="I27" s="6"/>
      <c r="J27" s="6"/>
      <c r="K27" s="6"/>
      <c r="L27" s="6"/>
      <c r="M27" s="6"/>
    </row>
    <row r="28" spans="1:13" ht="15.75" thickBot="1" x14ac:dyDescent="0.3">
      <c r="A28" s="231" t="s">
        <v>674</v>
      </c>
      <c r="B28" s="232">
        <f>SUM(B22:B27)</f>
        <v>18</v>
      </c>
      <c r="C28" s="6"/>
      <c r="H28" s="6"/>
      <c r="I28" s="6"/>
      <c r="J28" s="6"/>
      <c r="K28" s="6"/>
      <c r="L28" s="6"/>
      <c r="M28" s="6"/>
    </row>
    <row r="29" spans="1:13" x14ac:dyDescent="0.25">
      <c r="A29" s="6"/>
      <c r="B29" s="6"/>
      <c r="C29" s="6"/>
      <c r="D29" s="6"/>
      <c r="E29" s="6"/>
      <c r="F29" s="6"/>
      <c r="G29" s="6"/>
      <c r="H29" s="6"/>
      <c r="I29" s="6"/>
      <c r="J29" s="6"/>
      <c r="K29" s="6"/>
      <c r="L29" s="6"/>
      <c r="M29" s="6"/>
    </row>
    <row r="30" spans="1:13" ht="20.100000000000001" customHeight="1" thickBot="1" x14ac:dyDescent="0.3">
      <c r="A30" s="209" t="s">
        <v>675</v>
      </c>
      <c r="B30" s="209"/>
      <c r="C30" s="209"/>
      <c r="D30" s="209"/>
      <c r="E30" s="209"/>
      <c r="F30" s="209"/>
      <c r="G30" s="209"/>
      <c r="H30" s="209"/>
      <c r="I30" s="209"/>
      <c r="J30" s="209"/>
      <c r="K30" s="6"/>
      <c r="L30" s="6"/>
      <c r="M30" s="6"/>
    </row>
    <row r="31" spans="1:13" ht="30" customHeight="1" x14ac:dyDescent="0.25">
      <c r="A31" s="235" t="s">
        <v>622</v>
      </c>
      <c r="B31" s="234" t="s">
        <v>676</v>
      </c>
      <c r="C31" s="234" t="s">
        <v>186</v>
      </c>
      <c r="D31" s="234" t="s">
        <v>545</v>
      </c>
      <c r="E31" s="234" t="s">
        <v>547</v>
      </c>
      <c r="F31" s="234" t="s">
        <v>677</v>
      </c>
      <c r="G31" s="234" t="s">
        <v>678</v>
      </c>
      <c r="H31" s="234" t="s">
        <v>679</v>
      </c>
      <c r="I31" s="234" t="s">
        <v>680</v>
      </c>
      <c r="J31" s="236" t="s">
        <v>626</v>
      </c>
      <c r="K31" s="6"/>
      <c r="L31" s="6"/>
      <c r="M31" s="6"/>
    </row>
    <row r="32" spans="1:13" x14ac:dyDescent="0.25">
      <c r="A32" s="237" t="str">
        <f>IF($B32="","",IFERROR(_xlfn.XLOOKUP($B32,$B$3:$B$20,$A$3:$A$20),""))</f>
        <v>Round 1</v>
      </c>
      <c r="B32" s="239" t="s">
        <v>94</v>
      </c>
      <c r="C32" s="184" t="str">
        <f>IF($B32="","",IFERROR(_xlfn.XLOOKUP($B32,$B$3:$B$20,$C$3:$C$20),""))</f>
        <v>RB</v>
      </c>
      <c r="D32" s="185" t="str">
        <f>IF($B32="","",IFERROR(_xlfn.XLOOKUP($B32,$B$3:$B$20,$D$3:$D$20),""))</f>
        <v>DET</v>
      </c>
      <c r="E32" s="197">
        <f>IF($B32="","",IFERROR(_xlfn.XLOOKUP($B32,$B$3:$B$20,$E$3:$E$20),""))</f>
        <v>1.8</v>
      </c>
      <c r="F32" s="200">
        <f>IF($B32="","",IFERROR(_xlfn.XLOOKUP($B32,$B$3:$B$20,$F$3:$F$20),""))</f>
        <v>1</v>
      </c>
      <c r="G32" s="200">
        <f>IF($B32="","",IFERROR(_xlfn.XLOOKUP($B32,$B$3:$B$20,$G$3:$G$20),""))</f>
        <v>1</v>
      </c>
      <c r="H32" s="200">
        <f>IF($B32="","",IF(OR($B33="",$G32&lt;&gt;$G33),$G32,IF($G32=1,IF($E32&lt;=$E33,1,2),IF($E32&lt;=$E33,MAX(1,$G32-1),$G32))))</f>
        <v>1</v>
      </c>
      <c r="I32" s="185" t="str">
        <f>IF($H32="","","Round "&amp;$H32)</f>
        <v>Round 1</v>
      </c>
      <c r="J32" s="241">
        <f>IF(OR($B32="",$F32=""),"",$F32-$H32)</f>
        <v>0</v>
      </c>
      <c r="K32" s="6"/>
      <c r="L32" s="6"/>
      <c r="M32" s="6"/>
    </row>
    <row r="33" spans="1:13" x14ac:dyDescent="0.25">
      <c r="A33" s="238" t="str">
        <f>IF($B33="","",IFERROR(_xlfn.XLOOKUP($B33,$B$3:$B$20,$A$3:$A$20),""))</f>
        <v/>
      </c>
      <c r="B33" s="240"/>
      <c r="C33" s="186" t="str">
        <f>IF($B33="","",IFERROR(_xlfn.XLOOKUP($B33,$B$3:$B$20,$C$3:$C$20),""))</f>
        <v/>
      </c>
      <c r="D33" s="187" t="str">
        <f>IF($B33="","",IFERROR(_xlfn.XLOOKUP($B33,$B$3:$B$20,$D$3:$D$20),""))</f>
        <v/>
      </c>
      <c r="E33" s="198" t="str">
        <f>IF($B33="","",IFERROR(_xlfn.XLOOKUP($B33,$B$3:$B$20,$E$3:$E$20),""))</f>
        <v/>
      </c>
      <c r="F33" s="201" t="str">
        <f>IF($B33="","",IFERROR(_xlfn.XLOOKUP($B33,$B$3:$B$20,$F$3:$F$20),""))</f>
        <v/>
      </c>
      <c r="G33" s="201" t="str">
        <f>IF($B33="","",IFERROR(_xlfn.XLOOKUP($B33,$B$3:$B$20,$G$3:$G$20),""))</f>
        <v/>
      </c>
      <c r="H33" s="201" t="str">
        <f>IF($B33="","",IF(OR($B32="",$G33&lt;&gt;$G32),$G33,IF($G33=1,IF($E33&lt;=$E32,1,2),IF($E33&lt;=$E32,MAX(1,$G33-1),$G33))))</f>
        <v/>
      </c>
      <c r="I33" s="187" t="str">
        <f>IF($H33="","","Round "&amp;$H33)</f>
        <v/>
      </c>
      <c r="J33" s="242" t="str">
        <f>IF(OR($B33="",$F33=""),"",$F33-$H33)</f>
        <v/>
      </c>
      <c r="K33" s="6"/>
      <c r="L33" s="6"/>
      <c r="M33" s="6"/>
    </row>
    <row r="34" spans="1:13" ht="15.75" thickBot="1" x14ac:dyDescent="0.3">
      <c r="A34" s="248" t="s">
        <v>681</v>
      </c>
      <c r="B34" s="243"/>
      <c r="C34" s="244"/>
      <c r="D34" s="244"/>
      <c r="E34" s="244"/>
      <c r="F34" s="244"/>
      <c r="G34" s="245">
        <f>IF(COUNT($G$32:$G$33)=0,"",SUM($G$32:$G$33))</f>
        <v>1</v>
      </c>
      <c r="H34" s="245">
        <f>IF(COUNT($H$32:$H$33)=0,"",SUM($H$32:$H$33))</f>
        <v>1</v>
      </c>
      <c r="I34" s="246"/>
      <c r="J34" s="247">
        <f>IF(COUNT($J$32:$J$33)=0,"",SUM($J$32:$J$33))</f>
        <v>0</v>
      </c>
      <c r="K34" s="6"/>
      <c r="L34" s="6"/>
      <c r="M34" s="6"/>
    </row>
    <row r="35" spans="1:13" ht="15.75" thickBot="1" x14ac:dyDescent="0.3">
      <c r="A35" s="6"/>
      <c r="B35" s="6"/>
      <c r="C35" s="6"/>
      <c r="D35" s="6"/>
      <c r="E35" s="6"/>
      <c r="F35" s="6"/>
      <c r="G35" s="6"/>
      <c r="H35" s="6"/>
      <c r="I35" s="6"/>
      <c r="J35" s="6"/>
      <c r="K35" s="6"/>
      <c r="L35" s="6"/>
      <c r="M35" s="6"/>
    </row>
    <row r="36" spans="1:13" ht="20.100000000000001" customHeight="1" x14ac:dyDescent="0.25">
      <c r="A36" s="211" t="s">
        <v>682</v>
      </c>
      <c r="B36" s="210"/>
      <c r="C36" s="210"/>
      <c r="D36" s="210"/>
      <c r="E36" s="210"/>
      <c r="F36" s="210"/>
      <c r="G36" s="210"/>
      <c r="H36" s="210"/>
      <c r="I36" s="210"/>
      <c r="J36" s="215"/>
      <c r="K36" s="6"/>
      <c r="L36" s="6"/>
      <c r="M36" s="6"/>
    </row>
    <row r="37" spans="1:13" ht="30" customHeight="1" x14ac:dyDescent="0.25">
      <c r="A37" s="252" t="s">
        <v>683</v>
      </c>
      <c r="B37" s="249"/>
      <c r="C37" s="249"/>
      <c r="D37" s="249"/>
      <c r="E37" s="249"/>
      <c r="F37" s="249"/>
      <c r="G37" s="249"/>
      <c r="H37" s="249"/>
      <c r="I37" s="249"/>
      <c r="J37" s="255"/>
      <c r="K37" s="6"/>
      <c r="L37" s="6"/>
      <c r="M37" s="6"/>
    </row>
    <row r="38" spans="1:13" ht="30" customHeight="1" x14ac:dyDescent="0.25">
      <c r="A38" s="253" t="s">
        <v>684</v>
      </c>
      <c r="B38" s="250"/>
      <c r="C38" s="250"/>
      <c r="D38" s="250"/>
      <c r="E38" s="250"/>
      <c r="F38" s="250"/>
      <c r="G38" s="250"/>
      <c r="H38" s="250"/>
      <c r="I38" s="250"/>
      <c r="J38" s="256"/>
      <c r="K38" s="6"/>
      <c r="L38" s="6"/>
      <c r="M38" s="6"/>
    </row>
    <row r="39" spans="1:13" ht="30" customHeight="1" x14ac:dyDescent="0.25">
      <c r="A39" s="252" t="s">
        <v>685</v>
      </c>
      <c r="B39" s="249"/>
      <c r="C39" s="249"/>
      <c r="D39" s="249"/>
      <c r="E39" s="249"/>
      <c r="F39" s="249"/>
      <c r="G39" s="249"/>
      <c r="H39" s="249"/>
      <c r="I39" s="249"/>
      <c r="J39" s="255"/>
      <c r="K39" s="6"/>
      <c r="L39" s="6"/>
      <c r="M39" s="6"/>
    </row>
    <row r="40" spans="1:13" ht="15.95" customHeight="1" x14ac:dyDescent="0.25">
      <c r="A40" s="253" t="str" cm="1">
        <f t="array" ref="A40">"Rounds traded away: "&amp;_xlfn.LET(_xlpm.sl,MATCH(TRUE,EXACT('Draft Order-Traded Picks'!$B$2:$K$2,$M$13),0),_xlpm.g,INDEX('Draft Order-Traded Picks'!$B$3:$K$18,_xlfn.SEQUENCE(16),_xlpm.sl),IF(SUMPRODUCT(--(_xlpm.g&lt;&gt;""))=0,"none",_xlfn.TEXTJOIN(", ",TRUE,IF(_xlpm.g&lt;&gt;"","Rd "&amp;_xlfn.SEQUENCE(16),""))))</f>
        <v>Rounds traded away: none</v>
      </c>
      <c r="B40" s="250"/>
      <c r="C40" s="250"/>
      <c r="D40" s="250"/>
      <c r="E40" s="250"/>
      <c r="F40" s="250"/>
      <c r="G40" s="250"/>
      <c r="H40" s="250"/>
      <c r="I40" s="250"/>
      <c r="J40" s="256"/>
      <c r="K40" s="6"/>
      <c r="L40" s="6"/>
      <c r="M40" s="6"/>
    </row>
    <row r="41" spans="1:13" ht="15.95" customHeight="1" x14ac:dyDescent="0.25">
      <c r="A41" s="252" t="str" cm="1">
        <f t="array" ref="A41">"Rounds acquired: "&amp;_xlfn.LET(_xlpm.m,MMULT(--EXACT('Draft Order-Traded Picks'!$B$3:$K$18,$M$12),_xlfn.SEQUENCE(10,1,1,0)),IF(SUM(_xlpm.m)=0,"none",_xlfn.TEXTJOIN(", ",TRUE,IF(_xlpm.m&gt;0,"Rd "&amp;_xlfn.SEQUENCE(16)&amp;IF(_xlpm.m&gt;1," (x"&amp;_xlpm.m&amp;")",""),""))&amp;"  -  "&amp;SUM(_xlpm.m)&amp;" pick(s) total"))</f>
        <v>Rounds acquired: none</v>
      </c>
      <c r="B41" s="249"/>
      <c r="C41" s="249"/>
      <c r="D41" s="249"/>
      <c r="E41" s="249"/>
      <c r="F41" s="249"/>
      <c r="G41" s="249"/>
      <c r="H41" s="249"/>
      <c r="I41" s="249"/>
      <c r="J41" s="255"/>
      <c r="K41" s="6"/>
      <c r="L41" s="6"/>
      <c r="M41" s="6"/>
    </row>
    <row r="42" spans="1:13" ht="30" customHeight="1" thickBot="1" x14ac:dyDescent="0.3">
      <c r="A42" s="254" t="s">
        <v>696</v>
      </c>
      <c r="B42" s="251"/>
      <c r="C42" s="251"/>
      <c r="D42" s="251"/>
      <c r="E42" s="251"/>
      <c r="F42" s="251"/>
      <c r="G42" s="251"/>
      <c r="H42" s="251"/>
      <c r="I42" s="251"/>
      <c r="J42" s="257"/>
      <c r="K42" s="6"/>
      <c r="L42" s="6"/>
      <c r="M42" s="6"/>
    </row>
  </sheetData>
  <mergeCells count="11">
    <mergeCell ref="A37:J37"/>
    <mergeCell ref="A38:J38"/>
    <mergeCell ref="A39:J39"/>
    <mergeCell ref="A40:J40"/>
    <mergeCell ref="A41:J41"/>
    <mergeCell ref="A42:J42"/>
    <mergeCell ref="A1:J1"/>
    <mergeCell ref="L2:M2"/>
    <mergeCell ref="A21:B21"/>
    <mergeCell ref="A30:J30"/>
    <mergeCell ref="A36:J36"/>
  </mergeCells>
  <conditionalFormatting sqref="A3:J20">
    <cfRule type="expression" dxfId="56" priority="1">
      <formula>AND($B3&lt;&gt;"",MOD(ROW(),2)=0)</formula>
    </cfRule>
  </conditionalFormatting>
  <conditionalFormatting sqref="C3:C20">
    <cfRule type="containsText" dxfId="55" priority="2" operator="containsText" text="QB">
      <formula>NOT(ISERROR(SEARCH("QB",C3)))</formula>
    </cfRule>
  </conditionalFormatting>
  <conditionalFormatting sqref="C3:C20">
    <cfRule type="containsText" dxfId="54" priority="3" operator="containsText" text="RB">
      <formula>NOT(ISERROR(SEARCH("RB",C3)))</formula>
    </cfRule>
  </conditionalFormatting>
  <conditionalFormatting sqref="C3:C20">
    <cfRule type="containsText" dxfId="53" priority="4" operator="containsText" text="WR">
      <formula>NOT(ISERROR(SEARCH("WR",C3)))</formula>
    </cfRule>
  </conditionalFormatting>
  <conditionalFormatting sqref="C3:C20">
    <cfRule type="containsText" dxfId="52" priority="5" operator="containsText" text="TE">
      <formula>NOT(ISERROR(SEARCH("TE",C3)))</formula>
    </cfRule>
  </conditionalFormatting>
  <conditionalFormatting sqref="C3:C20">
    <cfRule type="containsText" dxfId="51" priority="6" operator="containsText" text="K">
      <formula>NOT(ISERROR(SEARCH("K",C3)))</formula>
    </cfRule>
  </conditionalFormatting>
  <conditionalFormatting sqref="C3:C20">
    <cfRule type="containsText" dxfId="50" priority="7" operator="containsText" text="DEF">
      <formula>NOT(ISERROR(SEARCH("DEF",C3)))</formula>
    </cfRule>
  </conditionalFormatting>
  <conditionalFormatting sqref="C32:C33">
    <cfRule type="containsText" dxfId="49" priority="8" operator="containsText" text="QB">
      <formula>NOT(ISERROR(SEARCH("QB",C32)))</formula>
    </cfRule>
  </conditionalFormatting>
  <conditionalFormatting sqref="C32:C33">
    <cfRule type="containsText" dxfId="48" priority="9" operator="containsText" text="RB">
      <formula>NOT(ISERROR(SEARCH("RB",C32)))</formula>
    </cfRule>
  </conditionalFormatting>
  <conditionalFormatting sqref="C32:C33">
    <cfRule type="containsText" dxfId="47" priority="10" operator="containsText" text="WR">
      <formula>NOT(ISERROR(SEARCH("WR",C32)))</formula>
    </cfRule>
  </conditionalFormatting>
  <conditionalFormatting sqref="C32:C33">
    <cfRule type="containsText" dxfId="46" priority="11" operator="containsText" text="TE">
      <formula>NOT(ISERROR(SEARCH("TE",C32)))</formula>
    </cfRule>
  </conditionalFormatting>
  <conditionalFormatting sqref="C32:C33">
    <cfRule type="containsText" dxfId="45" priority="12" operator="containsText" text="K">
      <formula>NOT(ISERROR(SEARCH("K",C32)))</formula>
    </cfRule>
  </conditionalFormatting>
  <conditionalFormatting sqref="C32:C33">
    <cfRule type="containsText" dxfId="44" priority="13" operator="containsText" text="DEF">
      <formula>NOT(ISERROR(SEARCH("DEF",C32)))</formula>
    </cfRule>
  </conditionalFormatting>
  <conditionalFormatting sqref="I3:I20">
    <cfRule type="expression" dxfId="43" priority="14">
      <formula>$I3&lt;&gt;""</formula>
    </cfRule>
  </conditionalFormatting>
  <conditionalFormatting sqref="J3:J20">
    <cfRule type="expression" dxfId="42" priority="15">
      <formula>ISNUMBER(SEARCH("Waiver",$J3))</formula>
    </cfRule>
  </conditionalFormatting>
  <conditionalFormatting sqref="H32:H33">
    <cfRule type="expression" dxfId="41" priority="20">
      <formula>AND($B32&lt;&gt;"",$H32&lt;&gt;$G32)</formula>
    </cfRule>
  </conditionalFormatting>
  <conditionalFormatting sqref="B32:B33">
    <cfRule type="expression" dxfId="40" priority="21">
      <formula>AND($B32&lt;&gt;"",COUNTIF($B$32:$B$33,$B32)&gt;1)</formula>
    </cfRule>
  </conditionalFormatting>
  <conditionalFormatting sqref="H3:H20">
    <cfRule type="expression" dxfId="3" priority="22">
      <formula>AND(ISNUMBER($H3),$H3&gt;0)</formula>
    </cfRule>
  </conditionalFormatting>
  <conditionalFormatting sqref="H3:H20">
    <cfRule type="expression" dxfId="2" priority="23">
      <formula>AND(ISNUMBER($H3),$H3&lt;0)</formula>
    </cfRule>
  </conditionalFormatting>
  <conditionalFormatting sqref="J32:J34">
    <cfRule type="expression" dxfId="1" priority="24">
      <formula>AND(ISNUMBER($J32),$J32&gt;0)</formula>
    </cfRule>
  </conditionalFormatting>
  <conditionalFormatting sqref="J32:J34">
    <cfRule type="expression" dxfId="0" priority="25">
      <formula>AND(ISNUMBER($J32),$J32&lt;0)</formula>
    </cfRule>
  </conditionalFormatting>
  <dataValidations count="1">
    <dataValidation type="list" allowBlank="1" showInputMessage="1" showErrorMessage="1" errorTitle="Not on this roster" error="Pick a player from this team's roster list above." promptTitle="Keeper selection" prompt="Choose one of this team's players. Keeper cost and value update automatically." sqref="B32:B33" xr:uid="{CAD9DC69-C2EF-4B02-BE76-B67753BC9148}">
      <formula1>$B$3:$B$20</formula1>
    </dataValidation>
  </dataValidations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F5BBF5A-7941-4EBF-8493-E06309C68131}">
  <sheetPr>
    <tabColor theme="9" tint="0.59999389629810485"/>
  </sheetPr>
  <dimension ref="A1:L35"/>
  <sheetViews>
    <sheetView showGridLines="0" zoomScaleNormal="100" workbookViewId="0">
      <pane xSplit="1" topLeftCell="B1" activePane="topRight" state="frozen"/>
      <selection pane="topRight" activeCell="I31" sqref="I31"/>
    </sheetView>
  </sheetViews>
  <sheetFormatPr defaultColWidth="9.140625" defaultRowHeight="15" x14ac:dyDescent="0.25"/>
  <cols>
    <col min="1" max="1" width="13.140625" style="3" bestFit="1" customWidth="1"/>
    <col min="2" max="2" width="27.140625" style="3" bestFit="1" customWidth="1"/>
    <col min="3" max="3" width="22.5703125" style="3" bestFit="1" customWidth="1"/>
    <col min="4" max="4" width="22.42578125" style="3" bestFit="1" customWidth="1"/>
    <col min="5" max="5" width="20" style="3" bestFit="1" customWidth="1"/>
    <col min="6" max="6" width="21.7109375" style="3" bestFit="1" customWidth="1"/>
    <col min="7" max="7" width="22.85546875" style="3" bestFit="1" customWidth="1"/>
    <col min="8" max="8" width="18.85546875" style="3" bestFit="1" customWidth="1"/>
    <col min="9" max="9" width="19.7109375" style="3" bestFit="1" customWidth="1"/>
    <col min="10" max="10" width="23.5703125" style="3" bestFit="1" customWidth="1"/>
    <col min="11" max="11" width="33.85546875" style="3" bestFit="1" customWidth="1"/>
    <col min="12" max="12" width="18.140625" style="3" bestFit="1" customWidth="1"/>
    <col min="13" max="13" width="16.140625" style="3" bestFit="1" customWidth="1"/>
    <col min="14" max="16384" width="9.140625" style="3"/>
  </cols>
  <sheetData>
    <row r="1" spans="1:12" ht="18.75" x14ac:dyDescent="0.25">
      <c r="A1" s="27" t="s">
        <v>208</v>
      </c>
      <c r="B1" s="54" t="s">
        <v>257</v>
      </c>
      <c r="C1" s="54"/>
      <c r="D1" s="54"/>
      <c r="E1" s="54"/>
      <c r="F1" s="54"/>
      <c r="G1" s="54"/>
      <c r="H1" s="54"/>
      <c r="I1" s="54"/>
      <c r="J1" s="54"/>
      <c r="K1" s="55"/>
      <c r="L1" s="2"/>
    </row>
    <row r="2" spans="1:12" ht="30.75" thickBot="1" x14ac:dyDescent="0.3">
      <c r="A2" s="59"/>
      <c r="B2" s="56" t="s">
        <v>256</v>
      </c>
      <c r="C2" s="56" t="s">
        <v>243</v>
      </c>
      <c r="D2" s="56" t="s">
        <v>92</v>
      </c>
      <c r="E2" s="56" t="s">
        <v>71</v>
      </c>
      <c r="F2" s="56" t="s">
        <v>72</v>
      </c>
      <c r="G2" s="56" t="s">
        <v>185</v>
      </c>
      <c r="H2" s="56" t="s">
        <v>244</v>
      </c>
      <c r="I2" s="56" t="s">
        <v>87</v>
      </c>
      <c r="J2" s="56" t="s">
        <v>73</v>
      </c>
      <c r="K2" s="57" t="s">
        <v>250</v>
      </c>
    </row>
    <row r="3" spans="1:12" x14ac:dyDescent="0.25">
      <c r="A3" s="25" t="s">
        <v>0</v>
      </c>
      <c r="B3" s="20" t="s">
        <v>193</v>
      </c>
      <c r="C3" s="20" t="s">
        <v>94</v>
      </c>
      <c r="D3" s="20" t="s">
        <v>75</v>
      </c>
      <c r="E3" s="20" t="s">
        <v>11</v>
      </c>
      <c r="F3" s="21" t="s">
        <v>110</v>
      </c>
      <c r="G3" s="26" t="s">
        <v>77</v>
      </c>
      <c r="H3" s="20" t="s">
        <v>236</v>
      </c>
      <c r="I3" s="20" t="s">
        <v>2</v>
      </c>
      <c r="J3" s="20" t="s">
        <v>17</v>
      </c>
      <c r="K3" s="22" t="s">
        <v>64</v>
      </c>
    </row>
    <row r="4" spans="1:12" x14ac:dyDescent="0.25">
      <c r="A4" s="13" t="s">
        <v>3</v>
      </c>
      <c r="B4" s="11" t="s">
        <v>100</v>
      </c>
      <c r="C4" s="11" t="s">
        <v>135</v>
      </c>
      <c r="D4" s="11" t="s">
        <v>53</v>
      </c>
      <c r="E4" s="11" t="s">
        <v>123</v>
      </c>
      <c r="F4" s="11" t="s">
        <v>138</v>
      </c>
      <c r="G4" s="11"/>
      <c r="H4" s="11" t="s">
        <v>93</v>
      </c>
      <c r="I4" s="11" t="s">
        <v>32</v>
      </c>
      <c r="J4" s="11" t="s">
        <v>57</v>
      </c>
      <c r="K4" s="18" t="s">
        <v>34</v>
      </c>
      <c r="L4" s="2"/>
    </row>
    <row r="5" spans="1:12" x14ac:dyDescent="0.25">
      <c r="A5" s="13"/>
      <c r="B5" s="11"/>
      <c r="C5" s="11"/>
      <c r="D5" s="11" t="s">
        <v>59</v>
      </c>
      <c r="E5" s="11"/>
      <c r="F5" s="11"/>
      <c r="G5" s="11"/>
      <c r="H5" s="11"/>
      <c r="I5" s="11"/>
      <c r="J5" s="11"/>
      <c r="K5" s="18"/>
      <c r="L5" s="2"/>
    </row>
    <row r="6" spans="1:12" x14ac:dyDescent="0.25">
      <c r="A6" s="13" t="s">
        <v>8</v>
      </c>
      <c r="B6" s="9" t="s">
        <v>189</v>
      </c>
      <c r="C6" s="9" t="s">
        <v>6</v>
      </c>
      <c r="D6" s="9" t="s">
        <v>45</v>
      </c>
      <c r="E6" s="9" t="s">
        <v>218</v>
      </c>
      <c r="F6" s="9" t="s">
        <v>69</v>
      </c>
      <c r="G6" s="9" t="s">
        <v>230</v>
      </c>
      <c r="H6" s="9"/>
      <c r="I6" s="10" t="s">
        <v>128</v>
      </c>
      <c r="J6" s="10" t="s">
        <v>9</v>
      </c>
      <c r="K6" s="16" t="s">
        <v>61</v>
      </c>
      <c r="L6" s="2"/>
    </row>
    <row r="7" spans="1:12" x14ac:dyDescent="0.25">
      <c r="A7" s="13"/>
      <c r="B7" s="9" t="s">
        <v>23</v>
      </c>
      <c r="C7" s="9"/>
      <c r="D7" s="9"/>
      <c r="E7" s="9"/>
      <c r="F7" s="9"/>
      <c r="G7" s="9"/>
      <c r="H7" s="9"/>
      <c r="I7" s="9"/>
      <c r="J7" s="9"/>
      <c r="K7" s="17"/>
      <c r="L7" s="2"/>
    </row>
    <row r="8" spans="1:12" x14ac:dyDescent="0.25">
      <c r="A8" s="14" t="s">
        <v>13</v>
      </c>
      <c r="B8" s="11" t="s">
        <v>83</v>
      </c>
      <c r="C8" s="11" t="s">
        <v>210</v>
      </c>
      <c r="D8" s="11" t="s">
        <v>144</v>
      </c>
      <c r="E8" s="11" t="s">
        <v>109</v>
      </c>
      <c r="F8" s="11" t="s">
        <v>27</v>
      </c>
      <c r="G8" s="11" t="s">
        <v>78</v>
      </c>
      <c r="H8" s="11" t="s">
        <v>39</v>
      </c>
      <c r="I8" s="11" t="s">
        <v>89</v>
      </c>
      <c r="J8" s="11" t="s">
        <v>74</v>
      </c>
      <c r="K8" s="18" t="s">
        <v>251</v>
      </c>
      <c r="L8" s="2"/>
    </row>
    <row r="9" spans="1:12" x14ac:dyDescent="0.25">
      <c r="A9" s="13" t="s">
        <v>16</v>
      </c>
      <c r="B9" s="9" t="s">
        <v>66</v>
      </c>
      <c r="C9" s="9" t="s">
        <v>76</v>
      </c>
      <c r="D9" s="9" t="s">
        <v>120</v>
      </c>
      <c r="E9" s="9" t="s">
        <v>25</v>
      </c>
      <c r="F9" s="9" t="s">
        <v>224</v>
      </c>
      <c r="G9" s="9" t="s">
        <v>36</v>
      </c>
      <c r="H9" s="9"/>
      <c r="I9" s="9" t="s">
        <v>52</v>
      </c>
      <c r="J9" s="9" t="s">
        <v>245</v>
      </c>
      <c r="K9" s="17" t="s">
        <v>147</v>
      </c>
      <c r="L9" s="2"/>
    </row>
    <row r="10" spans="1:12" x14ac:dyDescent="0.25">
      <c r="A10" s="13"/>
      <c r="B10" s="9"/>
      <c r="C10" s="9"/>
      <c r="D10" s="9" t="s">
        <v>14</v>
      </c>
      <c r="E10" s="9"/>
      <c r="F10" s="9"/>
      <c r="G10" s="9"/>
      <c r="H10" s="9"/>
      <c r="I10" s="9"/>
      <c r="J10" s="9"/>
      <c r="K10" s="17"/>
      <c r="L10" s="2"/>
    </row>
    <row r="11" spans="1:12" x14ac:dyDescent="0.25">
      <c r="A11" s="14" t="s">
        <v>18</v>
      </c>
      <c r="B11" s="11" t="s">
        <v>51</v>
      </c>
      <c r="C11" s="11" t="s">
        <v>1</v>
      </c>
      <c r="D11" s="11" t="s">
        <v>103</v>
      </c>
      <c r="E11" s="10" t="s">
        <v>107</v>
      </c>
      <c r="F11" s="10" t="s">
        <v>183</v>
      </c>
      <c r="G11" s="11" t="s">
        <v>231</v>
      </c>
      <c r="H11" s="11" t="s">
        <v>62</v>
      </c>
      <c r="I11" s="11" t="s">
        <v>80</v>
      </c>
      <c r="J11" s="11" t="s">
        <v>129</v>
      </c>
      <c r="K11" s="18" t="s">
        <v>252</v>
      </c>
      <c r="L11" s="2"/>
    </row>
    <row r="12" spans="1:12" x14ac:dyDescent="0.25">
      <c r="A12" s="13" t="s">
        <v>20</v>
      </c>
      <c r="B12" s="9"/>
      <c r="C12" s="9" t="s">
        <v>211</v>
      </c>
      <c r="D12" s="9" t="s">
        <v>117</v>
      </c>
      <c r="E12" s="9" t="s">
        <v>151</v>
      </c>
      <c r="F12" s="9" t="s">
        <v>124</v>
      </c>
      <c r="G12" s="10" t="s">
        <v>88</v>
      </c>
      <c r="H12" s="9" t="s">
        <v>7</v>
      </c>
      <c r="I12" s="9" t="s">
        <v>148</v>
      </c>
      <c r="J12" s="9" t="s">
        <v>38</v>
      </c>
      <c r="K12" s="17" t="s">
        <v>12</v>
      </c>
      <c r="L12" s="2"/>
    </row>
    <row r="13" spans="1:12" x14ac:dyDescent="0.25">
      <c r="A13" s="13"/>
      <c r="B13" s="9"/>
      <c r="C13" s="9"/>
      <c r="D13" s="9"/>
      <c r="E13" s="9"/>
      <c r="F13" s="9"/>
      <c r="G13" s="9"/>
      <c r="H13" s="9" t="s">
        <v>99</v>
      </c>
      <c r="I13" s="9"/>
      <c r="J13" s="9"/>
      <c r="K13" s="17"/>
      <c r="L13" s="2"/>
    </row>
    <row r="14" spans="1:12" x14ac:dyDescent="0.25">
      <c r="A14" s="14" t="s">
        <v>24</v>
      </c>
      <c r="B14" s="11" t="s">
        <v>98</v>
      </c>
      <c r="C14" s="10" t="s">
        <v>153</v>
      </c>
      <c r="D14" s="11" t="s">
        <v>215</v>
      </c>
      <c r="E14" s="11" t="s">
        <v>219</v>
      </c>
      <c r="F14" s="11" t="s">
        <v>58</v>
      </c>
      <c r="G14" s="10" t="s">
        <v>55</v>
      </c>
      <c r="H14" s="11" t="s">
        <v>145</v>
      </c>
      <c r="I14" s="11" t="s">
        <v>56</v>
      </c>
      <c r="J14" s="11" t="s">
        <v>246</v>
      </c>
      <c r="K14" s="18" t="s">
        <v>50</v>
      </c>
      <c r="L14" s="2"/>
    </row>
    <row r="15" spans="1:12" x14ac:dyDescent="0.25">
      <c r="A15" s="13" t="s">
        <v>28</v>
      </c>
      <c r="B15" s="10" t="s">
        <v>127</v>
      </c>
      <c r="C15" s="10" t="s">
        <v>115</v>
      </c>
      <c r="D15" s="9"/>
      <c r="E15" s="9" t="s">
        <v>154</v>
      </c>
      <c r="F15" s="9" t="s">
        <v>108</v>
      </c>
      <c r="G15" s="9" t="s">
        <v>19</v>
      </c>
      <c r="H15" s="10" t="s">
        <v>85</v>
      </c>
      <c r="I15" s="9" t="s">
        <v>119</v>
      </c>
      <c r="J15" s="9" t="s">
        <v>106</v>
      </c>
      <c r="K15" s="17" t="s">
        <v>152</v>
      </c>
      <c r="L15" s="2"/>
    </row>
    <row r="16" spans="1:12" x14ac:dyDescent="0.25">
      <c r="A16" s="13"/>
      <c r="B16" s="9"/>
      <c r="C16" s="9"/>
      <c r="D16" s="9"/>
      <c r="E16" s="9"/>
      <c r="F16" s="9"/>
      <c r="G16" s="9" t="s">
        <v>232</v>
      </c>
      <c r="H16" s="9"/>
      <c r="I16" s="9"/>
      <c r="J16" s="9"/>
      <c r="K16" s="17"/>
      <c r="L16" s="2"/>
    </row>
    <row r="17" spans="1:12" x14ac:dyDescent="0.25">
      <c r="A17" s="13" t="s">
        <v>29</v>
      </c>
      <c r="B17" s="11" t="s">
        <v>136</v>
      </c>
      <c r="C17" s="11"/>
      <c r="D17" s="11" t="s">
        <v>216</v>
      </c>
      <c r="E17" s="10" t="s">
        <v>84</v>
      </c>
      <c r="F17" s="11" t="s">
        <v>225</v>
      </c>
      <c r="G17" s="11" t="s">
        <v>44</v>
      </c>
      <c r="H17" s="11" t="s">
        <v>237</v>
      </c>
      <c r="I17" s="11" t="s">
        <v>130</v>
      </c>
      <c r="J17" s="10" t="s">
        <v>114</v>
      </c>
      <c r="K17" s="18" t="s">
        <v>15</v>
      </c>
      <c r="L17" s="2"/>
    </row>
    <row r="18" spans="1:12" x14ac:dyDescent="0.25">
      <c r="A18" s="13"/>
      <c r="B18" s="11"/>
      <c r="C18" s="11"/>
      <c r="D18" s="11"/>
      <c r="E18" s="11"/>
      <c r="F18" s="11"/>
      <c r="G18" s="11" t="s">
        <v>233</v>
      </c>
      <c r="H18" s="11"/>
      <c r="I18" s="11"/>
      <c r="J18" s="11"/>
      <c r="K18" s="18"/>
      <c r="L18" s="2"/>
    </row>
    <row r="19" spans="1:12" x14ac:dyDescent="0.25">
      <c r="A19" s="14" t="s">
        <v>31</v>
      </c>
      <c r="B19" s="9" t="s">
        <v>105</v>
      </c>
      <c r="C19" s="9" t="s">
        <v>5</v>
      </c>
      <c r="D19" s="10" t="s">
        <v>142</v>
      </c>
      <c r="E19" s="9" t="s">
        <v>112</v>
      </c>
      <c r="F19" s="9" t="s">
        <v>102</v>
      </c>
      <c r="G19" s="9" t="s">
        <v>139</v>
      </c>
      <c r="H19" s="10" t="s">
        <v>184</v>
      </c>
      <c r="I19" s="9" t="s">
        <v>49</v>
      </c>
      <c r="J19" s="9" t="s">
        <v>247</v>
      </c>
      <c r="K19" s="17" t="s">
        <v>253</v>
      </c>
      <c r="L19" s="2"/>
    </row>
    <row r="20" spans="1:12" x14ac:dyDescent="0.25">
      <c r="A20" s="14" t="s">
        <v>35</v>
      </c>
      <c r="B20" s="11" t="s">
        <v>22</v>
      </c>
      <c r="C20" s="11" t="s">
        <v>212</v>
      </c>
      <c r="D20" s="11" t="s">
        <v>217</v>
      </c>
      <c r="E20" s="11" t="s">
        <v>220</v>
      </c>
      <c r="F20" s="11" t="s">
        <v>101</v>
      </c>
      <c r="G20" s="11" t="s">
        <v>21</v>
      </c>
      <c r="H20" s="11" t="s">
        <v>97</v>
      </c>
      <c r="I20" s="10" t="s">
        <v>131</v>
      </c>
      <c r="J20" s="11" t="s">
        <v>116</v>
      </c>
      <c r="K20" s="18" t="s">
        <v>67</v>
      </c>
      <c r="L20" s="2"/>
    </row>
    <row r="21" spans="1:12" x14ac:dyDescent="0.25">
      <c r="A21" s="13" t="s">
        <v>37</v>
      </c>
      <c r="B21" s="10" t="s">
        <v>54</v>
      </c>
      <c r="C21" s="9" t="s">
        <v>26</v>
      </c>
      <c r="D21" s="9"/>
      <c r="E21" s="9" t="s">
        <v>221</v>
      </c>
      <c r="F21" s="9" t="s">
        <v>226</v>
      </c>
      <c r="G21" s="9" t="s">
        <v>234</v>
      </c>
      <c r="H21" s="9" t="s">
        <v>238</v>
      </c>
      <c r="I21" s="9" t="s">
        <v>47</v>
      </c>
      <c r="J21" s="9" t="s">
        <v>63</v>
      </c>
      <c r="K21" s="17" t="s">
        <v>254</v>
      </c>
      <c r="L21" s="2"/>
    </row>
    <row r="22" spans="1:12" x14ac:dyDescent="0.25">
      <c r="A22" s="13"/>
      <c r="B22" s="9"/>
      <c r="C22" s="9" t="s">
        <v>79</v>
      </c>
      <c r="D22" s="9"/>
      <c r="E22" s="9"/>
      <c r="F22" s="9"/>
      <c r="G22" s="9"/>
      <c r="H22" s="9"/>
      <c r="I22" s="9"/>
      <c r="J22" s="9"/>
      <c r="K22" s="17"/>
      <c r="L22" s="2"/>
    </row>
    <row r="23" spans="1:12" x14ac:dyDescent="0.25">
      <c r="A23" s="14" t="s">
        <v>40</v>
      </c>
      <c r="B23" s="11" t="s">
        <v>70</v>
      </c>
      <c r="C23" s="11" t="s">
        <v>213</v>
      </c>
      <c r="D23" s="10" t="s">
        <v>140</v>
      </c>
      <c r="E23" s="11" t="s">
        <v>134</v>
      </c>
      <c r="F23" s="11" t="s">
        <v>227</v>
      </c>
      <c r="G23" s="11" t="s">
        <v>235</v>
      </c>
      <c r="H23" s="11" t="s">
        <v>239</v>
      </c>
      <c r="I23" s="11" t="s">
        <v>126</v>
      </c>
      <c r="J23" s="11" t="s">
        <v>248</v>
      </c>
      <c r="K23" s="18" t="s">
        <v>104</v>
      </c>
      <c r="L23" s="2"/>
    </row>
    <row r="24" spans="1:12" x14ac:dyDescent="0.25">
      <c r="A24" s="14" t="s">
        <v>41</v>
      </c>
      <c r="B24" s="9" t="s">
        <v>95</v>
      </c>
      <c r="C24" s="9" t="s">
        <v>214</v>
      </c>
      <c r="D24" s="9" t="s">
        <v>65</v>
      </c>
      <c r="E24" s="9" t="s">
        <v>222</v>
      </c>
      <c r="F24" s="9" t="s">
        <v>228</v>
      </c>
      <c r="G24" s="9" t="s">
        <v>42</v>
      </c>
      <c r="H24" s="9" t="s">
        <v>240</v>
      </c>
      <c r="I24" s="9" t="s">
        <v>242</v>
      </c>
      <c r="J24" s="9" t="s">
        <v>249</v>
      </c>
      <c r="K24" s="17" t="s">
        <v>255</v>
      </c>
      <c r="L24" s="2"/>
    </row>
    <row r="25" spans="1:12" x14ac:dyDescent="0.25">
      <c r="A25" s="13" t="s">
        <v>43</v>
      </c>
      <c r="B25" s="11" t="s">
        <v>209</v>
      </c>
      <c r="C25" s="11" t="s">
        <v>48</v>
      </c>
      <c r="D25" s="11" t="s">
        <v>122</v>
      </c>
      <c r="E25" s="11" t="s">
        <v>223</v>
      </c>
      <c r="F25" s="11" t="s">
        <v>229</v>
      </c>
      <c r="G25" s="11"/>
      <c r="H25" s="11" t="s">
        <v>241</v>
      </c>
      <c r="I25" s="11" t="s">
        <v>81</v>
      </c>
      <c r="J25" s="11" t="s">
        <v>46</v>
      </c>
      <c r="K25" s="18" t="s">
        <v>150</v>
      </c>
      <c r="L25" s="2"/>
    </row>
    <row r="26" spans="1:12" x14ac:dyDescent="0.25">
      <c r="A26" s="24"/>
      <c r="B26" s="12"/>
      <c r="C26" s="12"/>
      <c r="D26" s="12"/>
      <c r="E26" s="12"/>
      <c r="F26" s="12"/>
      <c r="G26" s="12"/>
      <c r="H26" s="12" t="s">
        <v>146</v>
      </c>
      <c r="I26" s="12"/>
      <c r="J26" s="12"/>
      <c r="K26" s="19"/>
      <c r="L26" s="2"/>
    </row>
    <row r="27" spans="1:12" x14ac:dyDescent="0.25">
      <c r="A27" s="4"/>
      <c r="L27" s="2"/>
    </row>
    <row r="33" spans="2:2" x14ac:dyDescent="0.25">
      <c r="B33" s="5"/>
    </row>
    <row r="34" spans="2:2" x14ac:dyDescent="0.25">
      <c r="B34" s="5"/>
    </row>
    <row r="35" spans="2:2" x14ac:dyDescent="0.25">
      <c r="B35" s="5"/>
    </row>
  </sheetData>
  <mergeCells count="10">
    <mergeCell ref="A15:A16"/>
    <mergeCell ref="A17:A18"/>
    <mergeCell ref="A21:A22"/>
    <mergeCell ref="A25:A26"/>
    <mergeCell ref="A1:A2"/>
    <mergeCell ref="B1:K1"/>
    <mergeCell ref="A4:A5"/>
    <mergeCell ref="A6:A7"/>
    <mergeCell ref="A9:A10"/>
    <mergeCell ref="A12:A13"/>
  </mergeCells>
  <pageMargins left="0.7" right="0.7" top="0.75" bottom="0.75" header="0.3" footer="0.3"/>
  <pageSetup orientation="portrait" horizontalDpi="300" verticalDpi="300" r:id="rId1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7D5A2C3-63D0-4864-85A6-7AA413875D67}">
  <dimension ref="A1:K182"/>
  <sheetViews>
    <sheetView showGridLines="0" workbookViewId="0">
      <pane ySplit="2" topLeftCell="A3" activePane="bottomLeft" state="frozen"/>
      <selection pane="bottomLeft" activeCell="D23" sqref="D23"/>
    </sheetView>
  </sheetViews>
  <sheetFormatPr defaultRowHeight="15" x14ac:dyDescent="0.25"/>
  <cols>
    <col min="1" max="1" width="14.28515625" customWidth="1"/>
    <col min="2" max="2" width="36.140625" customWidth="1"/>
    <col min="3" max="5" width="10.42578125" customWidth="1"/>
    <col min="6" max="6" width="12.42578125" customWidth="1"/>
    <col min="7" max="7" width="20" customWidth="1"/>
    <col min="8" max="8" width="38.140625" customWidth="1"/>
    <col min="9" max="9" width="21" customWidth="1"/>
    <col min="10" max="10" width="40" customWidth="1"/>
    <col min="11" max="11" width="10.42578125" customWidth="1"/>
  </cols>
  <sheetData>
    <row r="1" spans="1:11" ht="30" customHeight="1" x14ac:dyDescent="0.25">
      <c r="A1" s="170" t="s">
        <v>543</v>
      </c>
      <c r="B1" s="171"/>
      <c r="C1" s="171"/>
      <c r="D1" s="171"/>
      <c r="E1" s="171"/>
      <c r="F1" s="171"/>
      <c r="G1" s="171"/>
      <c r="H1" s="172"/>
    </row>
    <row r="2" spans="1:11" ht="26.1" customHeight="1" thickBot="1" x14ac:dyDescent="0.3">
      <c r="A2" s="177" t="s">
        <v>544</v>
      </c>
      <c r="B2" s="178" t="s">
        <v>354</v>
      </c>
      <c r="C2" s="178" t="s">
        <v>186</v>
      </c>
      <c r="D2" s="178" t="s">
        <v>545</v>
      </c>
      <c r="E2" s="178" t="s">
        <v>546</v>
      </c>
      <c r="F2" s="178" t="s">
        <v>547</v>
      </c>
      <c r="G2" s="178" t="s">
        <v>548</v>
      </c>
      <c r="H2" s="179" t="s">
        <v>549</v>
      </c>
      <c r="I2" s="181" t="s">
        <v>621</v>
      </c>
      <c r="J2" s="182" t="s">
        <v>620</v>
      </c>
      <c r="K2" s="180">
        <v>12</v>
      </c>
    </row>
    <row r="3" spans="1:11" ht="20.100000000000001" customHeight="1" x14ac:dyDescent="0.25">
      <c r="A3" s="173">
        <v>1</v>
      </c>
      <c r="B3" s="174" t="s">
        <v>110</v>
      </c>
      <c r="C3" s="175" t="s">
        <v>187</v>
      </c>
      <c r="D3" s="175" t="s">
        <v>550</v>
      </c>
      <c r="E3" s="175">
        <v>11</v>
      </c>
      <c r="F3" s="175">
        <v>1.7</v>
      </c>
      <c r="G3" s="175">
        <f>ROUNDUP(F3/10,0)</f>
        <v>1</v>
      </c>
      <c r="H3" s="176" t="s">
        <v>357</v>
      </c>
      <c r="I3" s="1">
        <f>IF($C3="QB",MAX(1,$F3-$K$2),$F3)</f>
        <v>1.7</v>
      </c>
    </row>
    <row r="4" spans="1:11" ht="20.100000000000001" customHeight="1" x14ac:dyDescent="0.25">
      <c r="A4" s="166">
        <v>2</v>
      </c>
      <c r="B4" s="162" t="s">
        <v>94</v>
      </c>
      <c r="C4" s="163" t="s">
        <v>187</v>
      </c>
      <c r="D4" s="163" t="s">
        <v>551</v>
      </c>
      <c r="E4" s="163">
        <v>6</v>
      </c>
      <c r="F4" s="163">
        <v>1.8</v>
      </c>
      <c r="G4" s="163">
        <f t="shared" ref="G4:G67" si="0">ROUNDUP(F4/10,0)</f>
        <v>1</v>
      </c>
      <c r="H4" s="168" t="s">
        <v>355</v>
      </c>
      <c r="I4" s="1">
        <f t="shared" ref="I4:I67" si="1">IF($C4="QB",MAX(1,$F4-$K$2),$F4)</f>
        <v>1.8</v>
      </c>
    </row>
    <row r="5" spans="1:11" ht="20.100000000000001" customHeight="1" x14ac:dyDescent="0.25">
      <c r="A5" s="166">
        <v>3</v>
      </c>
      <c r="B5" s="162" t="s">
        <v>100</v>
      </c>
      <c r="C5" s="163" t="s">
        <v>191</v>
      </c>
      <c r="D5" s="163" t="s">
        <v>552</v>
      </c>
      <c r="E5" s="163">
        <v>11</v>
      </c>
      <c r="F5" s="163">
        <v>3.1</v>
      </c>
      <c r="G5" s="163">
        <f t="shared" si="0"/>
        <v>1</v>
      </c>
      <c r="H5" s="168" t="s">
        <v>192</v>
      </c>
      <c r="I5" s="1">
        <f t="shared" si="1"/>
        <v>3.1</v>
      </c>
    </row>
    <row r="6" spans="1:11" ht="20.100000000000001" customHeight="1" x14ac:dyDescent="0.25">
      <c r="A6" s="166">
        <v>4</v>
      </c>
      <c r="B6" s="162" t="s">
        <v>61</v>
      </c>
      <c r="C6" s="163" t="s">
        <v>191</v>
      </c>
      <c r="D6" s="163" t="s">
        <v>553</v>
      </c>
      <c r="E6" s="163">
        <v>6</v>
      </c>
      <c r="F6" s="163">
        <v>3.9</v>
      </c>
      <c r="G6" s="163">
        <f t="shared" si="0"/>
        <v>1</v>
      </c>
      <c r="H6" s="168" t="s">
        <v>361</v>
      </c>
      <c r="I6" s="1">
        <f t="shared" si="1"/>
        <v>3.9</v>
      </c>
    </row>
    <row r="7" spans="1:11" ht="20.100000000000001" customHeight="1" x14ac:dyDescent="0.25">
      <c r="A7" s="166">
        <v>5</v>
      </c>
      <c r="B7" s="162" t="s">
        <v>115</v>
      </c>
      <c r="C7" s="163" t="s">
        <v>191</v>
      </c>
      <c r="D7" s="163" t="s">
        <v>554</v>
      </c>
      <c r="E7" s="163">
        <v>11</v>
      </c>
      <c r="F7" s="163">
        <v>5.4</v>
      </c>
      <c r="G7" s="163">
        <f t="shared" si="0"/>
        <v>1</v>
      </c>
      <c r="H7" s="168" t="s">
        <v>355</v>
      </c>
      <c r="I7" s="1">
        <f t="shared" si="1"/>
        <v>5.4</v>
      </c>
    </row>
    <row r="8" spans="1:11" ht="20.100000000000001" customHeight="1" x14ac:dyDescent="0.25">
      <c r="A8" s="166">
        <v>6</v>
      </c>
      <c r="B8" s="162" t="s">
        <v>2</v>
      </c>
      <c r="C8" s="163" t="s">
        <v>187</v>
      </c>
      <c r="D8" s="163" t="s">
        <v>555</v>
      </c>
      <c r="E8" s="163">
        <v>8</v>
      </c>
      <c r="F8" s="163">
        <v>6.4</v>
      </c>
      <c r="G8" s="163">
        <f t="shared" si="0"/>
        <v>1</v>
      </c>
      <c r="H8" s="168" t="s">
        <v>359</v>
      </c>
      <c r="I8" s="1">
        <f t="shared" si="1"/>
        <v>6.4</v>
      </c>
    </row>
    <row r="9" spans="1:11" ht="20.100000000000001" customHeight="1" x14ac:dyDescent="0.25">
      <c r="A9" s="166">
        <v>7</v>
      </c>
      <c r="B9" s="162" t="s">
        <v>75</v>
      </c>
      <c r="C9" s="163" t="s">
        <v>191</v>
      </c>
      <c r="D9" s="163" t="s">
        <v>551</v>
      </c>
      <c r="E9" s="163">
        <v>6</v>
      </c>
      <c r="F9" s="163">
        <v>6.6</v>
      </c>
      <c r="G9" s="163">
        <f t="shared" si="0"/>
        <v>1</v>
      </c>
      <c r="H9" s="168" t="s">
        <v>192</v>
      </c>
      <c r="I9" s="1">
        <f t="shared" si="1"/>
        <v>6.6</v>
      </c>
    </row>
    <row r="10" spans="1:11" ht="20.100000000000001" customHeight="1" x14ac:dyDescent="0.25">
      <c r="A10" s="166">
        <v>8</v>
      </c>
      <c r="B10" s="162" t="s">
        <v>53</v>
      </c>
      <c r="C10" s="163" t="s">
        <v>187</v>
      </c>
      <c r="D10" s="163" t="s">
        <v>556</v>
      </c>
      <c r="E10" s="163">
        <v>13</v>
      </c>
      <c r="F10" s="163">
        <v>7.5</v>
      </c>
      <c r="G10" s="163">
        <f t="shared" si="0"/>
        <v>1</v>
      </c>
      <c r="H10" s="168" t="s">
        <v>192</v>
      </c>
      <c r="I10" s="1">
        <f t="shared" si="1"/>
        <v>7.5</v>
      </c>
    </row>
    <row r="11" spans="1:11" ht="20.100000000000001" customHeight="1" x14ac:dyDescent="0.25">
      <c r="A11" s="166">
        <v>9</v>
      </c>
      <c r="B11" s="162" t="s">
        <v>114</v>
      </c>
      <c r="C11" s="163" t="s">
        <v>187</v>
      </c>
      <c r="D11" s="163" t="s">
        <v>557</v>
      </c>
      <c r="E11" s="163">
        <v>6</v>
      </c>
      <c r="F11" s="163">
        <v>10.1</v>
      </c>
      <c r="G11" s="163">
        <f t="shared" si="0"/>
        <v>2</v>
      </c>
      <c r="H11" s="168" t="s">
        <v>360</v>
      </c>
      <c r="I11" s="1">
        <f t="shared" si="1"/>
        <v>10.1</v>
      </c>
    </row>
    <row r="12" spans="1:11" ht="20.100000000000001" customHeight="1" x14ac:dyDescent="0.25">
      <c r="A12" s="166">
        <v>10</v>
      </c>
      <c r="B12" s="162" t="s">
        <v>77</v>
      </c>
      <c r="C12" s="163" t="s">
        <v>191</v>
      </c>
      <c r="D12" s="163" t="s">
        <v>550</v>
      </c>
      <c r="E12" s="163">
        <v>11</v>
      </c>
      <c r="F12" s="163">
        <v>10.3</v>
      </c>
      <c r="G12" s="163">
        <f t="shared" si="0"/>
        <v>2</v>
      </c>
      <c r="H12" s="168" t="s">
        <v>358</v>
      </c>
      <c r="I12" s="1">
        <f t="shared" si="1"/>
        <v>10.3</v>
      </c>
    </row>
    <row r="13" spans="1:11" ht="20.100000000000001" customHeight="1" x14ac:dyDescent="0.25">
      <c r="A13" s="166">
        <v>11</v>
      </c>
      <c r="B13" s="162" t="s">
        <v>193</v>
      </c>
      <c r="C13" s="163" t="s">
        <v>191</v>
      </c>
      <c r="D13" s="163" t="s">
        <v>558</v>
      </c>
      <c r="E13" s="163">
        <v>14</v>
      </c>
      <c r="F13" s="163">
        <v>10.8</v>
      </c>
      <c r="G13" s="163">
        <f t="shared" si="0"/>
        <v>2</v>
      </c>
      <c r="H13" s="168" t="s">
        <v>190</v>
      </c>
      <c r="I13" s="1">
        <f t="shared" si="1"/>
        <v>10.8</v>
      </c>
    </row>
    <row r="14" spans="1:11" ht="20.100000000000001" customHeight="1" x14ac:dyDescent="0.25">
      <c r="A14" s="166">
        <v>12</v>
      </c>
      <c r="B14" s="162" t="s">
        <v>183</v>
      </c>
      <c r="C14" s="163" t="s">
        <v>191</v>
      </c>
      <c r="D14" s="163" t="s">
        <v>559</v>
      </c>
      <c r="E14" s="163">
        <v>6</v>
      </c>
      <c r="F14" s="163">
        <v>13</v>
      </c>
      <c r="G14" s="163">
        <f t="shared" si="0"/>
        <v>2</v>
      </c>
      <c r="H14" s="168" t="s">
        <v>357</v>
      </c>
      <c r="I14" s="1">
        <f t="shared" si="1"/>
        <v>13</v>
      </c>
    </row>
    <row r="15" spans="1:11" ht="20.100000000000001" customHeight="1" x14ac:dyDescent="0.25">
      <c r="A15" s="166">
        <v>13</v>
      </c>
      <c r="B15" s="162" t="s">
        <v>218</v>
      </c>
      <c r="C15" s="163" t="s">
        <v>187</v>
      </c>
      <c r="D15" s="163" t="s">
        <v>560</v>
      </c>
      <c r="E15" s="163">
        <v>7</v>
      </c>
      <c r="F15" s="163">
        <v>13.1</v>
      </c>
      <c r="G15" s="163">
        <f t="shared" si="0"/>
        <v>2</v>
      </c>
      <c r="H15" s="168" t="s">
        <v>356</v>
      </c>
      <c r="I15" s="1">
        <f t="shared" si="1"/>
        <v>13.1</v>
      </c>
    </row>
    <row r="16" spans="1:11" ht="20.100000000000001" customHeight="1" x14ac:dyDescent="0.25">
      <c r="A16" s="166">
        <v>14</v>
      </c>
      <c r="B16" s="162" t="s">
        <v>135</v>
      </c>
      <c r="C16" s="163" t="s">
        <v>187</v>
      </c>
      <c r="D16" s="163" t="s">
        <v>553</v>
      </c>
      <c r="E16" s="163">
        <v>6</v>
      </c>
      <c r="F16" s="163">
        <v>13.3</v>
      </c>
      <c r="G16" s="163">
        <f t="shared" si="0"/>
        <v>2</v>
      </c>
      <c r="H16" s="168" t="s">
        <v>355</v>
      </c>
      <c r="I16" s="1">
        <f t="shared" si="1"/>
        <v>13.3</v>
      </c>
    </row>
    <row r="17" spans="1:9" ht="20.100000000000001" customHeight="1" x14ac:dyDescent="0.25">
      <c r="A17" s="166">
        <v>15</v>
      </c>
      <c r="B17" s="162" t="s">
        <v>117</v>
      </c>
      <c r="C17" s="163" t="s">
        <v>191</v>
      </c>
      <c r="D17" s="163" t="s">
        <v>561</v>
      </c>
      <c r="E17" s="163">
        <v>5</v>
      </c>
      <c r="F17" s="163">
        <v>14.2</v>
      </c>
      <c r="G17" s="163">
        <f t="shared" si="0"/>
        <v>2</v>
      </c>
      <c r="H17" s="168" t="s">
        <v>192</v>
      </c>
      <c r="I17" s="1">
        <f t="shared" si="1"/>
        <v>14.2</v>
      </c>
    </row>
    <row r="18" spans="1:9" ht="20.100000000000001" customHeight="1" x14ac:dyDescent="0.25">
      <c r="A18" s="166">
        <v>16</v>
      </c>
      <c r="B18" s="162" t="s">
        <v>236</v>
      </c>
      <c r="C18" s="163" t="s">
        <v>187</v>
      </c>
      <c r="D18" s="163" t="s">
        <v>562</v>
      </c>
      <c r="E18" s="163">
        <v>13</v>
      </c>
      <c r="F18" s="163">
        <v>14.9</v>
      </c>
      <c r="G18" s="163">
        <f t="shared" si="0"/>
        <v>2</v>
      </c>
      <c r="H18" s="168" t="s">
        <v>190</v>
      </c>
      <c r="I18" s="1">
        <f t="shared" si="1"/>
        <v>14.9</v>
      </c>
    </row>
    <row r="19" spans="1:9" ht="20.100000000000001" customHeight="1" x14ac:dyDescent="0.25">
      <c r="A19" s="166">
        <v>17</v>
      </c>
      <c r="B19" s="162" t="s">
        <v>11</v>
      </c>
      <c r="C19" s="163" t="s">
        <v>187</v>
      </c>
      <c r="D19" s="163" t="s">
        <v>563</v>
      </c>
      <c r="E19" s="163">
        <v>13</v>
      </c>
      <c r="F19" s="163">
        <v>17.100000000000001</v>
      </c>
      <c r="G19" s="163">
        <f t="shared" si="0"/>
        <v>2</v>
      </c>
      <c r="H19" s="168" t="s">
        <v>356</v>
      </c>
      <c r="I19" s="1">
        <f t="shared" si="1"/>
        <v>17.100000000000001</v>
      </c>
    </row>
    <row r="20" spans="1:9" ht="20.100000000000001" customHeight="1" x14ac:dyDescent="0.25">
      <c r="A20" s="166">
        <v>18</v>
      </c>
      <c r="B20" s="162" t="s">
        <v>123</v>
      </c>
      <c r="C20" s="163" t="s">
        <v>191</v>
      </c>
      <c r="D20" s="163" t="s">
        <v>564</v>
      </c>
      <c r="E20" s="163">
        <v>11</v>
      </c>
      <c r="F20" s="163">
        <v>17.5</v>
      </c>
      <c r="G20" s="163">
        <f t="shared" si="0"/>
        <v>2</v>
      </c>
      <c r="H20" s="168" t="s">
        <v>356</v>
      </c>
      <c r="I20" s="1">
        <f t="shared" si="1"/>
        <v>17.5</v>
      </c>
    </row>
    <row r="21" spans="1:9" ht="20.100000000000001" customHeight="1" x14ac:dyDescent="0.25">
      <c r="A21" s="166">
        <v>19</v>
      </c>
      <c r="B21" s="162" t="s">
        <v>78</v>
      </c>
      <c r="C21" s="163" t="s">
        <v>191</v>
      </c>
      <c r="D21" s="163" t="s">
        <v>558</v>
      </c>
      <c r="E21" s="163">
        <v>14</v>
      </c>
      <c r="F21" s="163">
        <v>19.899999999999999</v>
      </c>
      <c r="G21" s="163">
        <f t="shared" si="0"/>
        <v>2</v>
      </c>
      <c r="H21" s="168" t="s">
        <v>358</v>
      </c>
      <c r="I21" s="1">
        <f t="shared" si="1"/>
        <v>19.899999999999999</v>
      </c>
    </row>
    <row r="22" spans="1:9" ht="20.100000000000001" customHeight="1" x14ac:dyDescent="0.25">
      <c r="A22" s="166">
        <v>20</v>
      </c>
      <c r="B22" s="162" t="s">
        <v>64</v>
      </c>
      <c r="C22" s="163" t="s">
        <v>187</v>
      </c>
      <c r="D22" s="163" t="s">
        <v>565</v>
      </c>
      <c r="E22" s="163">
        <v>10</v>
      </c>
      <c r="F22" s="163">
        <v>20.100000000000001</v>
      </c>
      <c r="G22" s="163">
        <f t="shared" si="0"/>
        <v>3</v>
      </c>
      <c r="H22" s="168" t="s">
        <v>361</v>
      </c>
      <c r="I22" s="1">
        <f t="shared" si="1"/>
        <v>20.100000000000001</v>
      </c>
    </row>
    <row r="23" spans="1:9" ht="20.100000000000001" customHeight="1" x14ac:dyDescent="0.25">
      <c r="A23" s="166">
        <v>21</v>
      </c>
      <c r="B23" s="162" t="s">
        <v>189</v>
      </c>
      <c r="C23" s="163" t="s">
        <v>187</v>
      </c>
      <c r="D23" s="163" t="s">
        <v>566</v>
      </c>
      <c r="E23" s="163">
        <v>7</v>
      </c>
      <c r="F23" s="163">
        <v>20.7</v>
      </c>
      <c r="G23" s="163">
        <f t="shared" si="0"/>
        <v>3</v>
      </c>
      <c r="H23" s="168" t="s">
        <v>190</v>
      </c>
      <c r="I23" s="1">
        <f t="shared" si="1"/>
        <v>20.7</v>
      </c>
    </row>
    <row r="24" spans="1:9" ht="20.100000000000001" customHeight="1" x14ac:dyDescent="0.25">
      <c r="A24" s="166">
        <v>22</v>
      </c>
      <c r="B24" s="162" t="s">
        <v>80</v>
      </c>
      <c r="C24" s="163" t="s">
        <v>191</v>
      </c>
      <c r="D24" s="163" t="s">
        <v>567</v>
      </c>
      <c r="E24" s="163">
        <v>8</v>
      </c>
      <c r="F24" s="163">
        <v>21.5</v>
      </c>
      <c r="G24" s="163">
        <f t="shared" si="0"/>
        <v>3</v>
      </c>
      <c r="H24" s="168" t="s">
        <v>359</v>
      </c>
      <c r="I24" s="1">
        <f t="shared" si="1"/>
        <v>21.5</v>
      </c>
    </row>
    <row r="25" spans="1:9" ht="20.100000000000001" customHeight="1" x14ac:dyDescent="0.25">
      <c r="A25" s="166">
        <v>23</v>
      </c>
      <c r="B25" s="162" t="s">
        <v>85</v>
      </c>
      <c r="C25" s="163" t="s">
        <v>191</v>
      </c>
      <c r="D25" s="163" t="s">
        <v>568</v>
      </c>
      <c r="E25" s="163">
        <v>8</v>
      </c>
      <c r="F25" s="163">
        <v>22.2</v>
      </c>
      <c r="G25" s="163">
        <f t="shared" si="0"/>
        <v>3</v>
      </c>
      <c r="H25" s="168" t="s">
        <v>190</v>
      </c>
      <c r="I25" s="1">
        <f t="shared" si="1"/>
        <v>22.2</v>
      </c>
    </row>
    <row r="26" spans="1:9" ht="20.100000000000001" customHeight="1" x14ac:dyDescent="0.25">
      <c r="A26" s="166">
        <v>24</v>
      </c>
      <c r="B26" s="162" t="s">
        <v>569</v>
      </c>
      <c r="C26" s="163" t="s">
        <v>187</v>
      </c>
      <c r="D26" s="163" t="s">
        <v>561</v>
      </c>
      <c r="E26" s="163">
        <v>5</v>
      </c>
      <c r="F26" s="163">
        <v>24</v>
      </c>
      <c r="G26" s="163">
        <f t="shared" si="0"/>
        <v>3</v>
      </c>
      <c r="H26" s="168"/>
      <c r="I26" s="1">
        <f t="shared" si="1"/>
        <v>24</v>
      </c>
    </row>
    <row r="27" spans="1:9" ht="20.100000000000001" customHeight="1" x14ac:dyDescent="0.25">
      <c r="A27" s="166">
        <v>25</v>
      </c>
      <c r="B27" s="162" t="s">
        <v>109</v>
      </c>
      <c r="C27" s="163" t="s">
        <v>191</v>
      </c>
      <c r="D27" s="163" t="s">
        <v>563</v>
      </c>
      <c r="E27" s="163">
        <v>13</v>
      </c>
      <c r="F27" s="163">
        <v>24.9</v>
      </c>
      <c r="G27" s="163">
        <f t="shared" si="0"/>
        <v>3</v>
      </c>
      <c r="H27" s="168" t="s">
        <v>356</v>
      </c>
      <c r="I27" s="1">
        <f t="shared" si="1"/>
        <v>24.9</v>
      </c>
    </row>
    <row r="28" spans="1:9" ht="20.100000000000001" customHeight="1" x14ac:dyDescent="0.25">
      <c r="A28" s="166">
        <v>26</v>
      </c>
      <c r="B28" s="162" t="s">
        <v>89</v>
      </c>
      <c r="C28" s="163" t="s">
        <v>191</v>
      </c>
      <c r="D28" s="163" t="s">
        <v>570</v>
      </c>
      <c r="E28" s="163">
        <v>13</v>
      </c>
      <c r="F28" s="163">
        <v>27.8</v>
      </c>
      <c r="G28" s="163">
        <f t="shared" si="0"/>
        <v>3</v>
      </c>
      <c r="H28" s="168" t="s">
        <v>359</v>
      </c>
      <c r="I28" s="1">
        <f t="shared" si="1"/>
        <v>27.8</v>
      </c>
    </row>
    <row r="29" spans="1:9" ht="20.100000000000001" customHeight="1" x14ac:dyDescent="0.25">
      <c r="A29" s="166">
        <v>27</v>
      </c>
      <c r="B29" s="162" t="s">
        <v>128</v>
      </c>
      <c r="C29" s="163" t="s">
        <v>191</v>
      </c>
      <c r="D29" s="163" t="s">
        <v>571</v>
      </c>
      <c r="E29" s="163">
        <v>8</v>
      </c>
      <c r="F29" s="163">
        <v>28.4</v>
      </c>
      <c r="G29" s="163">
        <f t="shared" si="0"/>
        <v>3</v>
      </c>
      <c r="H29" s="168" t="s">
        <v>359</v>
      </c>
      <c r="I29" s="1">
        <f t="shared" si="1"/>
        <v>28.4</v>
      </c>
    </row>
    <row r="30" spans="1:9" ht="20.100000000000001" customHeight="1" x14ac:dyDescent="0.25">
      <c r="A30" s="166">
        <v>28</v>
      </c>
      <c r="B30" s="162" t="s">
        <v>76</v>
      </c>
      <c r="C30" s="163" t="s">
        <v>191</v>
      </c>
      <c r="D30" s="163" t="s">
        <v>565</v>
      </c>
      <c r="E30" s="163">
        <v>10</v>
      </c>
      <c r="F30" s="163">
        <v>28.7</v>
      </c>
      <c r="G30" s="163">
        <f t="shared" si="0"/>
        <v>3</v>
      </c>
      <c r="H30" s="168" t="s">
        <v>355</v>
      </c>
      <c r="I30" s="1">
        <f t="shared" si="1"/>
        <v>28.7</v>
      </c>
    </row>
    <row r="31" spans="1:9" ht="20.100000000000001" customHeight="1" x14ac:dyDescent="0.25">
      <c r="A31" s="166">
        <v>29</v>
      </c>
      <c r="B31" s="162" t="s">
        <v>572</v>
      </c>
      <c r="C31" s="163" t="s">
        <v>187</v>
      </c>
      <c r="D31" s="163" t="s">
        <v>573</v>
      </c>
      <c r="E31" s="163">
        <v>14</v>
      </c>
      <c r="F31" s="163">
        <v>28.8</v>
      </c>
      <c r="G31" s="163">
        <f t="shared" si="0"/>
        <v>3</v>
      </c>
      <c r="H31" s="168"/>
      <c r="I31" s="1">
        <f t="shared" si="1"/>
        <v>28.8</v>
      </c>
    </row>
    <row r="32" spans="1:9" ht="20.100000000000001" customHeight="1" x14ac:dyDescent="0.25">
      <c r="A32" s="166">
        <v>30</v>
      </c>
      <c r="B32" s="162" t="s">
        <v>74</v>
      </c>
      <c r="C32" s="163" t="s">
        <v>187</v>
      </c>
      <c r="D32" s="163" t="s">
        <v>570</v>
      </c>
      <c r="E32" s="163">
        <v>13</v>
      </c>
      <c r="F32" s="163">
        <v>28.9</v>
      </c>
      <c r="G32" s="163">
        <f t="shared" si="0"/>
        <v>3</v>
      </c>
      <c r="H32" s="168" t="s">
        <v>360</v>
      </c>
      <c r="I32" s="1">
        <f t="shared" si="1"/>
        <v>28.9</v>
      </c>
    </row>
    <row r="33" spans="1:9" ht="20.100000000000001" customHeight="1" x14ac:dyDescent="0.25">
      <c r="A33" s="166">
        <v>31</v>
      </c>
      <c r="B33" s="162" t="s">
        <v>17</v>
      </c>
      <c r="C33" s="163" t="s">
        <v>187</v>
      </c>
      <c r="D33" s="163" t="s">
        <v>574</v>
      </c>
      <c r="E33" s="163">
        <v>11</v>
      </c>
      <c r="F33" s="163">
        <v>30</v>
      </c>
      <c r="G33" s="163">
        <f t="shared" si="0"/>
        <v>3</v>
      </c>
      <c r="H33" s="168" t="s">
        <v>360</v>
      </c>
      <c r="I33" s="1">
        <f t="shared" si="1"/>
        <v>30</v>
      </c>
    </row>
    <row r="34" spans="1:9" ht="20.100000000000001" customHeight="1" x14ac:dyDescent="0.25">
      <c r="A34" s="166">
        <v>32</v>
      </c>
      <c r="B34" s="162" t="s">
        <v>184</v>
      </c>
      <c r="C34" s="163" t="s">
        <v>575</v>
      </c>
      <c r="D34" s="163" t="s">
        <v>560</v>
      </c>
      <c r="E34" s="163">
        <v>7</v>
      </c>
      <c r="F34" s="163">
        <v>30.6</v>
      </c>
      <c r="G34" s="163">
        <f t="shared" si="0"/>
        <v>4</v>
      </c>
      <c r="H34" s="168" t="s">
        <v>190</v>
      </c>
      <c r="I34" s="1">
        <f t="shared" si="1"/>
        <v>18.600000000000001</v>
      </c>
    </row>
    <row r="35" spans="1:9" ht="20.100000000000001" customHeight="1" x14ac:dyDescent="0.25">
      <c r="A35" s="166">
        <v>33</v>
      </c>
      <c r="B35" s="162" t="s">
        <v>93</v>
      </c>
      <c r="C35" s="163" t="s">
        <v>576</v>
      </c>
      <c r="D35" s="163" t="s">
        <v>573</v>
      </c>
      <c r="E35" s="163">
        <v>14</v>
      </c>
      <c r="F35" s="163">
        <v>31.7</v>
      </c>
      <c r="G35" s="163">
        <f t="shared" si="0"/>
        <v>4</v>
      </c>
      <c r="H35" s="168" t="s">
        <v>190</v>
      </c>
      <c r="I35" s="1">
        <f t="shared" si="1"/>
        <v>31.7</v>
      </c>
    </row>
    <row r="36" spans="1:9" ht="20.100000000000001" customHeight="1" x14ac:dyDescent="0.25">
      <c r="A36" s="166">
        <v>34</v>
      </c>
      <c r="B36" s="162" t="s">
        <v>88</v>
      </c>
      <c r="C36" s="163" t="s">
        <v>187</v>
      </c>
      <c r="D36" s="163" t="s">
        <v>552</v>
      </c>
      <c r="E36" s="163">
        <v>11</v>
      </c>
      <c r="F36" s="163">
        <v>32.4</v>
      </c>
      <c r="G36" s="163">
        <f t="shared" si="0"/>
        <v>4</v>
      </c>
      <c r="H36" s="168" t="s">
        <v>358</v>
      </c>
      <c r="I36" s="1">
        <f t="shared" si="1"/>
        <v>32.4</v>
      </c>
    </row>
    <row r="37" spans="1:9" ht="20.100000000000001" customHeight="1" x14ac:dyDescent="0.25">
      <c r="A37" s="166">
        <v>35</v>
      </c>
      <c r="B37" s="162" t="s">
        <v>245</v>
      </c>
      <c r="C37" s="163" t="s">
        <v>191</v>
      </c>
      <c r="D37" s="163" t="s">
        <v>577</v>
      </c>
      <c r="E37" s="163">
        <v>5</v>
      </c>
      <c r="F37" s="163">
        <v>33.6</v>
      </c>
      <c r="G37" s="163">
        <f t="shared" si="0"/>
        <v>4</v>
      </c>
      <c r="H37" s="168" t="s">
        <v>360</v>
      </c>
      <c r="I37" s="1">
        <f t="shared" si="1"/>
        <v>33.6</v>
      </c>
    </row>
    <row r="38" spans="1:9" ht="20.100000000000001" customHeight="1" x14ac:dyDescent="0.25">
      <c r="A38" s="166">
        <v>36</v>
      </c>
      <c r="B38" s="162" t="s">
        <v>247</v>
      </c>
      <c r="C38" s="163" t="s">
        <v>187</v>
      </c>
      <c r="D38" s="163" t="s">
        <v>571</v>
      </c>
      <c r="E38" s="163">
        <v>8</v>
      </c>
      <c r="F38" s="163">
        <v>34.1</v>
      </c>
      <c r="G38" s="163">
        <f t="shared" si="0"/>
        <v>4</v>
      </c>
      <c r="H38" s="168" t="s">
        <v>360</v>
      </c>
      <c r="I38" s="1">
        <f t="shared" si="1"/>
        <v>34.1</v>
      </c>
    </row>
    <row r="39" spans="1:9" ht="20.100000000000001" customHeight="1" x14ac:dyDescent="0.25">
      <c r="A39" s="166">
        <v>37</v>
      </c>
      <c r="B39" s="162" t="s">
        <v>57</v>
      </c>
      <c r="C39" s="163" t="s">
        <v>191</v>
      </c>
      <c r="D39" s="163" t="s">
        <v>553</v>
      </c>
      <c r="E39" s="163">
        <v>6</v>
      </c>
      <c r="F39" s="163">
        <v>36.6</v>
      </c>
      <c r="G39" s="163">
        <f t="shared" si="0"/>
        <v>4</v>
      </c>
      <c r="H39" s="168" t="s">
        <v>360</v>
      </c>
      <c r="I39" s="1">
        <f t="shared" si="1"/>
        <v>36.6</v>
      </c>
    </row>
    <row r="40" spans="1:9" ht="20.100000000000001" customHeight="1" x14ac:dyDescent="0.25">
      <c r="A40" s="166">
        <v>38</v>
      </c>
      <c r="B40" s="162" t="s">
        <v>231</v>
      </c>
      <c r="C40" s="163" t="s">
        <v>191</v>
      </c>
      <c r="D40" s="163" t="s">
        <v>578</v>
      </c>
      <c r="E40" s="163">
        <v>10</v>
      </c>
      <c r="F40" s="163">
        <v>37</v>
      </c>
      <c r="G40" s="163">
        <f t="shared" si="0"/>
        <v>4</v>
      </c>
      <c r="H40" s="168" t="s">
        <v>358</v>
      </c>
      <c r="I40" s="1">
        <f t="shared" si="1"/>
        <v>37</v>
      </c>
    </row>
    <row r="41" spans="1:9" ht="20.100000000000001" customHeight="1" x14ac:dyDescent="0.25">
      <c r="A41" s="166">
        <v>39</v>
      </c>
      <c r="B41" s="162" t="s">
        <v>67</v>
      </c>
      <c r="C41" s="163" t="s">
        <v>187</v>
      </c>
      <c r="D41" s="163" t="s">
        <v>558</v>
      </c>
      <c r="E41" s="163">
        <v>14</v>
      </c>
      <c r="F41" s="163">
        <v>37.4</v>
      </c>
      <c r="G41" s="163">
        <f t="shared" si="0"/>
        <v>4</v>
      </c>
      <c r="H41" s="168" t="s">
        <v>361</v>
      </c>
      <c r="I41" s="1">
        <f t="shared" si="1"/>
        <v>37.4</v>
      </c>
    </row>
    <row r="42" spans="1:9" ht="20.100000000000001" customHeight="1" x14ac:dyDescent="0.25">
      <c r="A42" s="166">
        <v>40</v>
      </c>
      <c r="B42" s="162" t="s">
        <v>131</v>
      </c>
      <c r="C42" s="163" t="s">
        <v>576</v>
      </c>
      <c r="D42" s="163" t="s">
        <v>562</v>
      </c>
      <c r="E42" s="163">
        <v>13</v>
      </c>
      <c r="F42" s="163">
        <v>38</v>
      </c>
      <c r="G42" s="163">
        <f t="shared" si="0"/>
        <v>4</v>
      </c>
      <c r="H42" s="168" t="s">
        <v>359</v>
      </c>
      <c r="I42" s="1">
        <f t="shared" si="1"/>
        <v>38</v>
      </c>
    </row>
    <row r="43" spans="1:9" ht="20.100000000000001" customHeight="1" x14ac:dyDescent="0.25">
      <c r="A43" s="166">
        <v>41</v>
      </c>
      <c r="B43" s="162" t="s">
        <v>142</v>
      </c>
      <c r="C43" s="163" t="s">
        <v>191</v>
      </c>
      <c r="D43" s="163" t="s">
        <v>566</v>
      </c>
      <c r="E43" s="163">
        <v>7</v>
      </c>
      <c r="F43" s="163">
        <v>40.200000000000003</v>
      </c>
      <c r="G43" s="163">
        <f t="shared" si="0"/>
        <v>5</v>
      </c>
      <c r="H43" s="168" t="s">
        <v>192</v>
      </c>
      <c r="I43" s="1">
        <f t="shared" si="1"/>
        <v>40.200000000000003</v>
      </c>
    </row>
    <row r="44" spans="1:9" ht="20.100000000000001" customHeight="1" x14ac:dyDescent="0.25">
      <c r="A44" s="166">
        <v>42</v>
      </c>
      <c r="B44" s="162" t="s">
        <v>210</v>
      </c>
      <c r="C44" s="163" t="s">
        <v>191</v>
      </c>
      <c r="D44" s="163" t="s">
        <v>552</v>
      </c>
      <c r="E44" s="163">
        <v>11</v>
      </c>
      <c r="F44" s="163">
        <v>41.2</v>
      </c>
      <c r="G44" s="163">
        <f t="shared" si="0"/>
        <v>5</v>
      </c>
      <c r="H44" s="168" t="s">
        <v>355</v>
      </c>
      <c r="I44" s="1">
        <f t="shared" si="1"/>
        <v>41.2</v>
      </c>
    </row>
    <row r="45" spans="1:9" ht="20.100000000000001" customHeight="1" x14ac:dyDescent="0.25">
      <c r="A45" s="166">
        <v>43</v>
      </c>
      <c r="B45" s="162" t="s">
        <v>119</v>
      </c>
      <c r="C45" s="163" t="s">
        <v>187</v>
      </c>
      <c r="D45" s="163" t="s">
        <v>567</v>
      </c>
      <c r="E45" s="163">
        <v>8</v>
      </c>
      <c r="F45" s="163">
        <v>41.5</v>
      </c>
      <c r="G45" s="163">
        <f t="shared" si="0"/>
        <v>5</v>
      </c>
      <c r="H45" s="168" t="s">
        <v>359</v>
      </c>
      <c r="I45" s="1">
        <f t="shared" si="1"/>
        <v>41.5</v>
      </c>
    </row>
    <row r="46" spans="1:9" ht="20.100000000000001" customHeight="1" x14ac:dyDescent="0.25">
      <c r="A46" s="166">
        <v>44</v>
      </c>
      <c r="B46" s="162" t="s">
        <v>84</v>
      </c>
      <c r="C46" s="163" t="s">
        <v>191</v>
      </c>
      <c r="D46" s="163" t="s">
        <v>551</v>
      </c>
      <c r="E46" s="163">
        <v>6</v>
      </c>
      <c r="F46" s="163">
        <v>44</v>
      </c>
      <c r="G46" s="163">
        <f t="shared" si="0"/>
        <v>5</v>
      </c>
      <c r="H46" s="168" t="s">
        <v>356</v>
      </c>
      <c r="I46" s="1">
        <f t="shared" si="1"/>
        <v>44</v>
      </c>
    </row>
    <row r="47" spans="1:9" ht="20.100000000000001" customHeight="1" x14ac:dyDescent="0.25">
      <c r="A47" s="166">
        <v>45</v>
      </c>
      <c r="B47" s="162" t="s">
        <v>140</v>
      </c>
      <c r="C47" s="163" t="s">
        <v>187</v>
      </c>
      <c r="D47" s="163" t="s">
        <v>578</v>
      </c>
      <c r="E47" s="163">
        <v>10</v>
      </c>
      <c r="F47" s="163">
        <v>45.2</v>
      </c>
      <c r="G47" s="163">
        <f t="shared" si="0"/>
        <v>5</v>
      </c>
      <c r="H47" s="168" t="s">
        <v>192</v>
      </c>
      <c r="I47" s="1">
        <f t="shared" si="1"/>
        <v>45.2</v>
      </c>
    </row>
    <row r="48" spans="1:9" ht="20.100000000000001" customHeight="1" x14ac:dyDescent="0.25">
      <c r="A48" s="166">
        <v>46</v>
      </c>
      <c r="B48" s="162" t="s">
        <v>45</v>
      </c>
      <c r="C48" s="163" t="s">
        <v>191</v>
      </c>
      <c r="D48" s="163" t="s">
        <v>579</v>
      </c>
      <c r="E48" s="163">
        <v>7</v>
      </c>
      <c r="F48" s="163">
        <v>45.7</v>
      </c>
      <c r="G48" s="163">
        <f t="shared" si="0"/>
        <v>5</v>
      </c>
      <c r="H48" s="168" t="s">
        <v>192</v>
      </c>
      <c r="I48" s="1">
        <f t="shared" si="1"/>
        <v>45.7</v>
      </c>
    </row>
    <row r="49" spans="1:9" ht="20.100000000000001" customHeight="1" x14ac:dyDescent="0.25">
      <c r="A49" s="166">
        <v>47</v>
      </c>
      <c r="B49" s="162" t="s">
        <v>52</v>
      </c>
      <c r="C49" s="163" t="s">
        <v>187</v>
      </c>
      <c r="D49" s="163" t="s">
        <v>580</v>
      </c>
      <c r="E49" s="163">
        <v>10</v>
      </c>
      <c r="F49" s="163">
        <v>46</v>
      </c>
      <c r="G49" s="163">
        <f t="shared" si="0"/>
        <v>5</v>
      </c>
      <c r="H49" s="168" t="s">
        <v>359</v>
      </c>
      <c r="I49" s="1">
        <f t="shared" si="1"/>
        <v>46</v>
      </c>
    </row>
    <row r="50" spans="1:9" ht="20.100000000000001" customHeight="1" x14ac:dyDescent="0.25">
      <c r="A50" s="166">
        <v>48</v>
      </c>
      <c r="B50" s="162" t="s">
        <v>62</v>
      </c>
      <c r="C50" s="163" t="s">
        <v>191</v>
      </c>
      <c r="D50" s="163" t="s">
        <v>581</v>
      </c>
      <c r="E50" s="163">
        <v>10</v>
      </c>
      <c r="F50" s="163">
        <v>46.1</v>
      </c>
      <c r="G50" s="163">
        <f t="shared" si="0"/>
        <v>5</v>
      </c>
      <c r="H50" s="168" t="s">
        <v>190</v>
      </c>
      <c r="I50" s="1">
        <f t="shared" si="1"/>
        <v>46.1</v>
      </c>
    </row>
    <row r="51" spans="1:9" ht="20.100000000000001" customHeight="1" x14ac:dyDescent="0.25">
      <c r="A51" s="166">
        <v>49</v>
      </c>
      <c r="B51" s="162" t="s">
        <v>124</v>
      </c>
      <c r="C51" s="163" t="s">
        <v>191</v>
      </c>
      <c r="D51" s="163" t="s">
        <v>580</v>
      </c>
      <c r="E51" s="163">
        <v>10</v>
      </c>
      <c r="F51" s="163">
        <v>49</v>
      </c>
      <c r="G51" s="163">
        <f t="shared" si="0"/>
        <v>5</v>
      </c>
      <c r="H51" s="168" t="s">
        <v>357</v>
      </c>
      <c r="I51" s="1">
        <f t="shared" si="1"/>
        <v>49</v>
      </c>
    </row>
    <row r="52" spans="1:9" ht="20.100000000000001" customHeight="1" x14ac:dyDescent="0.25">
      <c r="A52" s="166">
        <v>50</v>
      </c>
      <c r="B52" s="162" t="s">
        <v>154</v>
      </c>
      <c r="C52" s="163" t="s">
        <v>575</v>
      </c>
      <c r="D52" s="163" t="s">
        <v>564</v>
      </c>
      <c r="E52" s="163">
        <v>11</v>
      </c>
      <c r="F52" s="163">
        <v>50.2</v>
      </c>
      <c r="G52" s="163">
        <f t="shared" si="0"/>
        <v>6</v>
      </c>
      <c r="H52" s="168" t="s">
        <v>356</v>
      </c>
      <c r="I52" s="1">
        <f t="shared" si="1"/>
        <v>38.200000000000003</v>
      </c>
    </row>
    <row r="53" spans="1:9" ht="20.100000000000001" customHeight="1" x14ac:dyDescent="0.25">
      <c r="A53" s="166">
        <v>51</v>
      </c>
      <c r="B53" s="162" t="s">
        <v>55</v>
      </c>
      <c r="C53" s="163" t="s">
        <v>191</v>
      </c>
      <c r="D53" s="163" t="s">
        <v>560</v>
      </c>
      <c r="E53" s="163">
        <v>7</v>
      </c>
      <c r="F53" s="163">
        <v>50.7</v>
      </c>
      <c r="G53" s="163">
        <f t="shared" si="0"/>
        <v>6</v>
      </c>
      <c r="H53" s="168" t="s">
        <v>360</v>
      </c>
      <c r="I53" s="1">
        <f t="shared" si="1"/>
        <v>50.7</v>
      </c>
    </row>
    <row r="54" spans="1:9" ht="20.100000000000001" customHeight="1" x14ac:dyDescent="0.25">
      <c r="A54" s="166">
        <v>52</v>
      </c>
      <c r="B54" s="162" t="s">
        <v>237</v>
      </c>
      <c r="C54" s="163" t="s">
        <v>187</v>
      </c>
      <c r="D54" s="163" t="s">
        <v>582</v>
      </c>
      <c r="E54" s="163">
        <v>11</v>
      </c>
      <c r="F54" s="163">
        <v>51.4</v>
      </c>
      <c r="G54" s="163">
        <f t="shared" si="0"/>
        <v>6</v>
      </c>
      <c r="H54" s="168" t="s">
        <v>190</v>
      </c>
      <c r="I54" s="1">
        <f t="shared" si="1"/>
        <v>51.4</v>
      </c>
    </row>
    <row r="55" spans="1:9" ht="20.100000000000001" customHeight="1" x14ac:dyDescent="0.25">
      <c r="A55" s="166">
        <v>53</v>
      </c>
      <c r="B55" s="162" t="s">
        <v>216</v>
      </c>
      <c r="C55" s="163" t="s">
        <v>187</v>
      </c>
      <c r="D55" s="163" t="s">
        <v>583</v>
      </c>
      <c r="E55" s="163">
        <v>7</v>
      </c>
      <c r="F55" s="163">
        <v>54.2</v>
      </c>
      <c r="G55" s="163">
        <f t="shared" si="0"/>
        <v>6</v>
      </c>
      <c r="H55" s="168" t="s">
        <v>190</v>
      </c>
      <c r="I55" s="1">
        <f t="shared" si="1"/>
        <v>54.2</v>
      </c>
    </row>
    <row r="56" spans="1:9" ht="20.100000000000001" customHeight="1" x14ac:dyDescent="0.25">
      <c r="A56" s="166">
        <v>54</v>
      </c>
      <c r="B56" s="162" t="s">
        <v>9</v>
      </c>
      <c r="C56" s="163" t="s">
        <v>191</v>
      </c>
      <c r="D56" s="163" t="s">
        <v>555</v>
      </c>
      <c r="E56" s="163">
        <v>8</v>
      </c>
      <c r="F56" s="163">
        <v>54.9</v>
      </c>
      <c r="G56" s="163">
        <f t="shared" si="0"/>
        <v>6</v>
      </c>
      <c r="H56" s="168" t="s">
        <v>360</v>
      </c>
      <c r="I56" s="1">
        <f t="shared" si="1"/>
        <v>54.9</v>
      </c>
    </row>
    <row r="57" spans="1:9" ht="20.100000000000001" customHeight="1" x14ac:dyDescent="0.25">
      <c r="A57" s="166">
        <v>55</v>
      </c>
      <c r="B57" s="162" t="s">
        <v>32</v>
      </c>
      <c r="C57" s="163" t="s">
        <v>575</v>
      </c>
      <c r="D57" s="163" t="s">
        <v>563</v>
      </c>
      <c r="E57" s="163">
        <v>13</v>
      </c>
      <c r="F57" s="163">
        <v>55.5</v>
      </c>
      <c r="G57" s="163">
        <f t="shared" si="0"/>
        <v>6</v>
      </c>
      <c r="H57" s="168" t="s">
        <v>359</v>
      </c>
      <c r="I57" s="1">
        <f t="shared" si="1"/>
        <v>43.5</v>
      </c>
    </row>
    <row r="58" spans="1:9" ht="20.100000000000001" customHeight="1" x14ac:dyDescent="0.25">
      <c r="A58" s="166">
        <v>56</v>
      </c>
      <c r="B58" s="162" t="s">
        <v>66</v>
      </c>
      <c r="C58" s="163" t="s">
        <v>575</v>
      </c>
      <c r="D58" s="163" t="s">
        <v>553</v>
      </c>
      <c r="E58" s="163">
        <v>6</v>
      </c>
      <c r="F58" s="163">
        <v>56</v>
      </c>
      <c r="G58" s="163">
        <f t="shared" si="0"/>
        <v>6</v>
      </c>
      <c r="H58" s="168" t="s">
        <v>358</v>
      </c>
      <c r="I58" s="1">
        <f t="shared" si="1"/>
        <v>44</v>
      </c>
    </row>
    <row r="59" spans="1:9" ht="20.100000000000001" customHeight="1" x14ac:dyDescent="0.25">
      <c r="A59" s="166">
        <v>57</v>
      </c>
      <c r="B59" s="162" t="s">
        <v>239</v>
      </c>
      <c r="C59" s="163" t="s">
        <v>576</v>
      </c>
      <c r="D59" s="163" t="s">
        <v>580</v>
      </c>
      <c r="E59" s="163">
        <v>10</v>
      </c>
      <c r="F59" s="163">
        <v>57.9</v>
      </c>
      <c r="G59" s="163">
        <f t="shared" si="0"/>
        <v>6</v>
      </c>
      <c r="H59" s="168"/>
      <c r="I59" s="1">
        <f t="shared" si="1"/>
        <v>57.9</v>
      </c>
    </row>
    <row r="60" spans="1:9" ht="20.100000000000001" customHeight="1" x14ac:dyDescent="0.25">
      <c r="A60" s="166">
        <v>58</v>
      </c>
      <c r="B60" s="162" t="s">
        <v>241</v>
      </c>
      <c r="C60" s="163" t="s">
        <v>191</v>
      </c>
      <c r="D60" s="163" t="s">
        <v>580</v>
      </c>
      <c r="E60" s="163">
        <v>10</v>
      </c>
      <c r="F60" s="163">
        <v>58.4</v>
      </c>
      <c r="G60" s="163">
        <f t="shared" si="0"/>
        <v>6</v>
      </c>
      <c r="H60" s="168" t="s">
        <v>359</v>
      </c>
      <c r="I60" s="1">
        <f t="shared" si="1"/>
        <v>58.4</v>
      </c>
    </row>
    <row r="61" spans="1:9" ht="20.100000000000001" customHeight="1" x14ac:dyDescent="0.25">
      <c r="A61" s="166">
        <v>59</v>
      </c>
      <c r="B61" s="162" t="s">
        <v>374</v>
      </c>
      <c r="C61" s="163" t="s">
        <v>191</v>
      </c>
      <c r="D61" s="163" t="s">
        <v>556</v>
      </c>
      <c r="E61" s="163">
        <v>13</v>
      </c>
      <c r="F61" s="163">
        <v>58.4</v>
      </c>
      <c r="G61" s="163">
        <f t="shared" si="0"/>
        <v>6</v>
      </c>
      <c r="H61" s="168" t="s">
        <v>188</v>
      </c>
      <c r="I61" s="1">
        <f t="shared" si="1"/>
        <v>58.4</v>
      </c>
    </row>
    <row r="62" spans="1:9" ht="20.100000000000001" customHeight="1" x14ac:dyDescent="0.25">
      <c r="A62" s="166">
        <v>60</v>
      </c>
      <c r="B62" s="162" t="s">
        <v>230</v>
      </c>
      <c r="C62" s="163" t="s">
        <v>187</v>
      </c>
      <c r="D62" s="163" t="s">
        <v>564</v>
      </c>
      <c r="E62" s="163">
        <v>11</v>
      </c>
      <c r="F62" s="163">
        <v>59.1</v>
      </c>
      <c r="G62" s="163">
        <f t="shared" si="0"/>
        <v>6</v>
      </c>
      <c r="H62" s="168" t="s">
        <v>358</v>
      </c>
      <c r="I62" s="1">
        <f t="shared" si="1"/>
        <v>59.1</v>
      </c>
    </row>
    <row r="63" spans="1:9" ht="20.100000000000001" customHeight="1" x14ac:dyDescent="0.25">
      <c r="A63" s="166">
        <v>61</v>
      </c>
      <c r="B63" s="162" t="s">
        <v>36</v>
      </c>
      <c r="C63" s="163" t="s">
        <v>191</v>
      </c>
      <c r="D63" s="163" t="s">
        <v>581</v>
      </c>
      <c r="E63" s="163">
        <v>10</v>
      </c>
      <c r="F63" s="163">
        <v>60.4</v>
      </c>
      <c r="G63" s="163">
        <f t="shared" si="0"/>
        <v>7</v>
      </c>
      <c r="H63" s="168" t="s">
        <v>358</v>
      </c>
      <c r="I63" s="1">
        <f t="shared" si="1"/>
        <v>60.4</v>
      </c>
    </row>
    <row r="64" spans="1:9" ht="20.100000000000001" customHeight="1" x14ac:dyDescent="0.25">
      <c r="A64" s="166">
        <v>62</v>
      </c>
      <c r="B64" s="162" t="s">
        <v>14</v>
      </c>
      <c r="C64" s="163" t="s">
        <v>187</v>
      </c>
      <c r="D64" s="163" t="s">
        <v>568</v>
      </c>
      <c r="E64" s="163">
        <v>8</v>
      </c>
      <c r="F64" s="163">
        <v>61.1</v>
      </c>
      <c r="G64" s="163">
        <f t="shared" si="0"/>
        <v>7</v>
      </c>
      <c r="H64" s="168" t="s">
        <v>192</v>
      </c>
      <c r="I64" s="1">
        <f t="shared" si="1"/>
        <v>61.1</v>
      </c>
    </row>
    <row r="65" spans="1:9" ht="20.100000000000001" customHeight="1" x14ac:dyDescent="0.25">
      <c r="A65" s="166">
        <v>63</v>
      </c>
      <c r="B65" s="162" t="s">
        <v>91</v>
      </c>
      <c r="C65" s="163" t="s">
        <v>191</v>
      </c>
      <c r="D65" s="163" t="s">
        <v>574</v>
      </c>
      <c r="E65" s="163">
        <v>11</v>
      </c>
      <c r="F65" s="163">
        <v>63.5</v>
      </c>
      <c r="G65" s="163">
        <f t="shared" si="0"/>
        <v>7</v>
      </c>
      <c r="H65" s="168" t="s">
        <v>358</v>
      </c>
      <c r="I65" s="1">
        <f t="shared" si="1"/>
        <v>63.5</v>
      </c>
    </row>
    <row r="66" spans="1:9" ht="20.100000000000001" customHeight="1" x14ac:dyDescent="0.25">
      <c r="A66" s="166">
        <v>64</v>
      </c>
      <c r="B66" s="162" t="s">
        <v>233</v>
      </c>
      <c r="C66" s="163" t="s">
        <v>576</v>
      </c>
      <c r="D66" s="163" t="s">
        <v>556</v>
      </c>
      <c r="E66" s="163">
        <v>13</v>
      </c>
      <c r="F66" s="163">
        <v>64.7</v>
      </c>
      <c r="G66" s="163">
        <f t="shared" si="0"/>
        <v>7</v>
      </c>
      <c r="H66" s="168" t="s">
        <v>358</v>
      </c>
      <c r="I66" s="1">
        <f t="shared" si="1"/>
        <v>64.7</v>
      </c>
    </row>
    <row r="67" spans="1:9" ht="20.100000000000001" customHeight="1" x14ac:dyDescent="0.25">
      <c r="A67" s="166">
        <v>65</v>
      </c>
      <c r="B67" s="162" t="s">
        <v>99</v>
      </c>
      <c r="C67" s="163" t="s">
        <v>187</v>
      </c>
      <c r="D67" s="163" t="s">
        <v>584</v>
      </c>
      <c r="E67" s="163">
        <v>9</v>
      </c>
      <c r="F67" s="163">
        <v>64.8</v>
      </c>
      <c r="G67" s="163">
        <f t="shared" si="0"/>
        <v>7</v>
      </c>
      <c r="H67" s="168" t="s">
        <v>188</v>
      </c>
      <c r="I67" s="1">
        <f t="shared" si="1"/>
        <v>64.8</v>
      </c>
    </row>
    <row r="68" spans="1:9" ht="20.100000000000001" customHeight="1" x14ac:dyDescent="0.25">
      <c r="A68" s="166">
        <v>66</v>
      </c>
      <c r="B68" s="162" t="s">
        <v>144</v>
      </c>
      <c r="C68" s="163" t="s">
        <v>191</v>
      </c>
      <c r="D68" s="163" t="s">
        <v>573</v>
      </c>
      <c r="E68" s="163">
        <v>14</v>
      </c>
      <c r="F68" s="163">
        <v>65.099999999999994</v>
      </c>
      <c r="G68" s="163">
        <f t="shared" ref="G68:G131" si="2">ROUNDUP(F68/10,0)</f>
        <v>7</v>
      </c>
      <c r="H68" s="168" t="s">
        <v>192</v>
      </c>
      <c r="I68" s="1">
        <f t="shared" ref="I68:I131" si="3">IF($C68="QB",MAX(1,$F68-$K$2),$F68)</f>
        <v>65.099999999999994</v>
      </c>
    </row>
    <row r="69" spans="1:9" ht="20.100000000000001" customHeight="1" x14ac:dyDescent="0.25">
      <c r="A69" s="166">
        <v>67</v>
      </c>
      <c r="B69" s="162" t="s">
        <v>39</v>
      </c>
      <c r="C69" s="163" t="s">
        <v>191</v>
      </c>
      <c r="D69" s="163" t="s">
        <v>584</v>
      </c>
      <c r="E69" s="163">
        <v>9</v>
      </c>
      <c r="F69" s="163">
        <v>65.2</v>
      </c>
      <c r="G69" s="163">
        <f t="shared" si="2"/>
        <v>7</v>
      </c>
      <c r="H69" s="168"/>
      <c r="I69" s="1">
        <f t="shared" si="3"/>
        <v>65.2</v>
      </c>
    </row>
    <row r="70" spans="1:9" ht="20.100000000000001" customHeight="1" x14ac:dyDescent="0.25">
      <c r="A70" s="166">
        <v>68</v>
      </c>
      <c r="B70" s="162" t="s">
        <v>44</v>
      </c>
      <c r="C70" s="163" t="s">
        <v>575</v>
      </c>
      <c r="D70" s="163" t="s">
        <v>558</v>
      </c>
      <c r="E70" s="163">
        <v>14</v>
      </c>
      <c r="F70" s="163">
        <v>65.8</v>
      </c>
      <c r="G70" s="163">
        <f t="shared" si="2"/>
        <v>7</v>
      </c>
      <c r="H70" s="168" t="s">
        <v>360</v>
      </c>
      <c r="I70" s="1">
        <f t="shared" si="3"/>
        <v>53.8</v>
      </c>
    </row>
    <row r="71" spans="1:9" ht="20.100000000000001" customHeight="1" x14ac:dyDescent="0.25">
      <c r="A71" s="166">
        <v>69</v>
      </c>
      <c r="B71" s="162" t="s">
        <v>380</v>
      </c>
      <c r="C71" s="163" t="s">
        <v>191</v>
      </c>
      <c r="D71" s="163" t="s">
        <v>583</v>
      </c>
      <c r="E71" s="163">
        <v>7</v>
      </c>
      <c r="F71" s="163">
        <v>67.099999999999994</v>
      </c>
      <c r="G71" s="163">
        <f t="shared" si="2"/>
        <v>7</v>
      </c>
      <c r="H71" s="168" t="s">
        <v>361</v>
      </c>
      <c r="I71" s="1">
        <f t="shared" si="3"/>
        <v>67.099999999999994</v>
      </c>
    </row>
    <row r="72" spans="1:9" ht="20.100000000000001" customHeight="1" x14ac:dyDescent="0.25">
      <c r="A72" s="166">
        <v>70</v>
      </c>
      <c r="B72" s="162" t="s">
        <v>25</v>
      </c>
      <c r="C72" s="163" t="s">
        <v>187</v>
      </c>
      <c r="D72" s="163" t="s">
        <v>585</v>
      </c>
      <c r="E72" s="163">
        <v>9</v>
      </c>
      <c r="F72" s="163">
        <v>67.3</v>
      </c>
      <c r="G72" s="163">
        <f t="shared" si="2"/>
        <v>7</v>
      </c>
      <c r="H72" s="168" t="s">
        <v>356</v>
      </c>
      <c r="I72" s="1">
        <f t="shared" si="3"/>
        <v>67.3</v>
      </c>
    </row>
    <row r="73" spans="1:9" ht="20.100000000000001" customHeight="1" x14ac:dyDescent="0.25">
      <c r="A73" s="166">
        <v>71</v>
      </c>
      <c r="B73" s="162" t="s">
        <v>70</v>
      </c>
      <c r="C73" s="163" t="s">
        <v>187</v>
      </c>
      <c r="D73" s="163" t="s">
        <v>564</v>
      </c>
      <c r="E73" s="163">
        <v>11</v>
      </c>
      <c r="F73" s="163">
        <v>71.3</v>
      </c>
      <c r="G73" s="163">
        <f t="shared" si="2"/>
        <v>8</v>
      </c>
      <c r="H73" s="168"/>
      <c r="I73" s="1">
        <f t="shared" si="3"/>
        <v>71.3</v>
      </c>
    </row>
    <row r="74" spans="1:9" ht="20.100000000000001" customHeight="1" x14ac:dyDescent="0.25">
      <c r="A74" s="166">
        <v>72</v>
      </c>
      <c r="B74" s="162" t="s">
        <v>138</v>
      </c>
      <c r="C74" s="163" t="s">
        <v>575</v>
      </c>
      <c r="D74" s="163" t="s">
        <v>579</v>
      </c>
      <c r="E74" s="163">
        <v>7</v>
      </c>
      <c r="F74" s="163">
        <v>72</v>
      </c>
      <c r="G74" s="163">
        <f t="shared" si="2"/>
        <v>8</v>
      </c>
      <c r="H74" s="168" t="s">
        <v>359</v>
      </c>
      <c r="I74" s="1">
        <f t="shared" si="3"/>
        <v>60</v>
      </c>
    </row>
    <row r="75" spans="1:9" ht="20.100000000000001" customHeight="1" x14ac:dyDescent="0.25">
      <c r="A75" s="166">
        <v>73</v>
      </c>
      <c r="B75" s="162" t="s">
        <v>136</v>
      </c>
      <c r="C75" s="163" t="s">
        <v>191</v>
      </c>
      <c r="D75" s="163" t="s">
        <v>584</v>
      </c>
      <c r="E75" s="163">
        <v>9</v>
      </c>
      <c r="F75" s="163">
        <v>73.5</v>
      </c>
      <c r="G75" s="163">
        <f t="shared" si="2"/>
        <v>8</v>
      </c>
      <c r="H75" s="168" t="s">
        <v>188</v>
      </c>
      <c r="I75" s="1">
        <f t="shared" si="3"/>
        <v>73.5</v>
      </c>
    </row>
    <row r="76" spans="1:9" ht="20.100000000000001" customHeight="1" x14ac:dyDescent="0.25">
      <c r="A76" s="166">
        <v>74</v>
      </c>
      <c r="B76" s="162" t="s">
        <v>127</v>
      </c>
      <c r="C76" s="163" t="s">
        <v>191</v>
      </c>
      <c r="D76" s="163" t="s">
        <v>583</v>
      </c>
      <c r="E76" s="163">
        <v>7</v>
      </c>
      <c r="F76" s="163">
        <v>73.900000000000006</v>
      </c>
      <c r="G76" s="163">
        <f t="shared" si="2"/>
        <v>8</v>
      </c>
      <c r="H76" s="168" t="s">
        <v>188</v>
      </c>
      <c r="I76" s="1">
        <f t="shared" si="3"/>
        <v>73.900000000000006</v>
      </c>
    </row>
    <row r="77" spans="1:9" ht="20.100000000000001" customHeight="1" x14ac:dyDescent="0.25">
      <c r="A77" s="166">
        <v>75</v>
      </c>
      <c r="B77" s="162" t="s">
        <v>133</v>
      </c>
      <c r="C77" s="163" t="s">
        <v>187</v>
      </c>
      <c r="D77" s="163" t="s">
        <v>584</v>
      </c>
      <c r="E77" s="163">
        <v>9</v>
      </c>
      <c r="F77" s="163">
        <v>74.099999999999994</v>
      </c>
      <c r="G77" s="163">
        <f t="shared" si="2"/>
        <v>8</v>
      </c>
      <c r="H77" s="168" t="s">
        <v>358</v>
      </c>
      <c r="I77" s="1">
        <f t="shared" si="3"/>
        <v>74.099999999999994</v>
      </c>
    </row>
    <row r="78" spans="1:9" ht="20.100000000000001" customHeight="1" x14ac:dyDescent="0.25">
      <c r="A78" s="166">
        <v>76</v>
      </c>
      <c r="B78" s="162" t="s">
        <v>69</v>
      </c>
      <c r="C78" s="163" t="s">
        <v>187</v>
      </c>
      <c r="D78" s="163" t="s">
        <v>577</v>
      </c>
      <c r="E78" s="163">
        <v>5</v>
      </c>
      <c r="F78" s="163">
        <v>74.400000000000006</v>
      </c>
      <c r="G78" s="163">
        <f t="shared" si="2"/>
        <v>8</v>
      </c>
      <c r="H78" s="168" t="s">
        <v>357</v>
      </c>
      <c r="I78" s="1">
        <f t="shared" si="3"/>
        <v>74.400000000000006</v>
      </c>
    </row>
    <row r="79" spans="1:9" ht="20.100000000000001" customHeight="1" x14ac:dyDescent="0.25">
      <c r="A79" s="166">
        <v>77</v>
      </c>
      <c r="B79" s="162" t="s">
        <v>586</v>
      </c>
      <c r="C79" s="163" t="s">
        <v>191</v>
      </c>
      <c r="D79" s="163" t="s">
        <v>585</v>
      </c>
      <c r="E79" s="163">
        <v>9</v>
      </c>
      <c r="F79" s="163">
        <v>74.8</v>
      </c>
      <c r="G79" s="163">
        <f t="shared" si="2"/>
        <v>8</v>
      </c>
      <c r="H79" s="168"/>
      <c r="I79" s="1">
        <f t="shared" si="3"/>
        <v>74.8</v>
      </c>
    </row>
    <row r="80" spans="1:9" ht="20.100000000000001" customHeight="1" x14ac:dyDescent="0.25">
      <c r="A80" s="166">
        <v>78</v>
      </c>
      <c r="B80" s="162" t="s">
        <v>126</v>
      </c>
      <c r="C80" s="163" t="s">
        <v>576</v>
      </c>
      <c r="D80" s="163" t="s">
        <v>550</v>
      </c>
      <c r="E80" s="163">
        <v>11</v>
      </c>
      <c r="F80" s="163">
        <v>77.5</v>
      </c>
      <c r="G80" s="163">
        <f t="shared" si="2"/>
        <v>8</v>
      </c>
      <c r="H80" s="168" t="s">
        <v>188</v>
      </c>
      <c r="I80" s="1">
        <f t="shared" si="3"/>
        <v>77.5</v>
      </c>
    </row>
    <row r="81" spans="1:9" ht="20.100000000000001" customHeight="1" x14ac:dyDescent="0.25">
      <c r="A81" s="166">
        <v>79</v>
      </c>
      <c r="B81" s="162" t="s">
        <v>362</v>
      </c>
      <c r="C81" s="163" t="s">
        <v>576</v>
      </c>
      <c r="D81" s="163" t="s">
        <v>582</v>
      </c>
      <c r="E81" s="163">
        <v>11</v>
      </c>
      <c r="F81" s="163">
        <v>79.099999999999994</v>
      </c>
      <c r="G81" s="163">
        <f t="shared" si="2"/>
        <v>8</v>
      </c>
      <c r="H81" s="168" t="s">
        <v>190</v>
      </c>
      <c r="I81" s="1">
        <f t="shared" si="3"/>
        <v>79.099999999999994</v>
      </c>
    </row>
    <row r="82" spans="1:9" ht="20.100000000000001" customHeight="1" x14ac:dyDescent="0.25">
      <c r="A82" s="166">
        <v>80</v>
      </c>
      <c r="B82" s="162" t="s">
        <v>59</v>
      </c>
      <c r="C82" s="163" t="s">
        <v>575</v>
      </c>
      <c r="D82" s="163" t="s">
        <v>565</v>
      </c>
      <c r="E82" s="163">
        <v>10</v>
      </c>
      <c r="F82" s="163">
        <v>79.2</v>
      </c>
      <c r="G82" s="163">
        <f t="shared" si="2"/>
        <v>8</v>
      </c>
      <c r="H82" s="168" t="s">
        <v>192</v>
      </c>
      <c r="I82" s="1">
        <f t="shared" si="3"/>
        <v>67.2</v>
      </c>
    </row>
    <row r="83" spans="1:9" ht="20.100000000000001" customHeight="1" x14ac:dyDescent="0.25">
      <c r="A83" s="166">
        <v>81</v>
      </c>
      <c r="B83" s="162" t="s">
        <v>587</v>
      </c>
      <c r="C83" s="163" t="s">
        <v>187</v>
      </c>
      <c r="D83" s="163" t="s">
        <v>554</v>
      </c>
      <c r="E83" s="163">
        <v>11</v>
      </c>
      <c r="F83" s="163">
        <v>80.2</v>
      </c>
      <c r="G83" s="163">
        <f t="shared" si="2"/>
        <v>9</v>
      </c>
      <c r="H83" s="168"/>
      <c r="I83" s="1">
        <f t="shared" si="3"/>
        <v>80.2</v>
      </c>
    </row>
    <row r="84" spans="1:9" ht="20.100000000000001" customHeight="1" x14ac:dyDescent="0.25">
      <c r="A84" s="166">
        <v>82</v>
      </c>
      <c r="B84" s="162" t="s">
        <v>60</v>
      </c>
      <c r="C84" s="163" t="s">
        <v>575</v>
      </c>
      <c r="D84" s="163" t="s">
        <v>552</v>
      </c>
      <c r="E84" s="163">
        <v>11</v>
      </c>
      <c r="F84" s="163">
        <v>81.099999999999994</v>
      </c>
      <c r="G84" s="163">
        <f t="shared" si="2"/>
        <v>9</v>
      </c>
      <c r="H84" s="168" t="s">
        <v>188</v>
      </c>
      <c r="I84" s="1">
        <f t="shared" si="3"/>
        <v>69.099999999999994</v>
      </c>
    </row>
    <row r="85" spans="1:9" ht="20.100000000000001" customHeight="1" x14ac:dyDescent="0.25">
      <c r="A85" s="166">
        <v>83</v>
      </c>
      <c r="B85" s="162" t="s">
        <v>378</v>
      </c>
      <c r="C85" s="163" t="s">
        <v>191</v>
      </c>
      <c r="D85" s="163" t="s">
        <v>573</v>
      </c>
      <c r="E85" s="163">
        <v>14</v>
      </c>
      <c r="F85" s="163">
        <v>81.5</v>
      </c>
      <c r="G85" s="163">
        <f t="shared" si="2"/>
        <v>9</v>
      </c>
      <c r="H85" s="168" t="s">
        <v>361</v>
      </c>
      <c r="I85" s="1">
        <f t="shared" si="3"/>
        <v>81.5</v>
      </c>
    </row>
    <row r="86" spans="1:9" ht="20.100000000000001" customHeight="1" x14ac:dyDescent="0.25">
      <c r="A86" s="166">
        <v>84</v>
      </c>
      <c r="B86" s="162" t="s">
        <v>248</v>
      </c>
      <c r="C86" s="163" t="s">
        <v>191</v>
      </c>
      <c r="D86" s="163" t="s">
        <v>585</v>
      </c>
      <c r="E86" s="163">
        <v>9</v>
      </c>
      <c r="F86" s="163">
        <v>81.7</v>
      </c>
      <c r="G86" s="163">
        <f t="shared" si="2"/>
        <v>9</v>
      </c>
      <c r="H86" s="168" t="s">
        <v>192</v>
      </c>
      <c r="I86" s="1">
        <f t="shared" si="3"/>
        <v>81.7</v>
      </c>
    </row>
    <row r="87" spans="1:9" ht="20.100000000000001" customHeight="1" x14ac:dyDescent="0.25">
      <c r="A87" s="166">
        <v>85</v>
      </c>
      <c r="B87" s="162" t="s">
        <v>251</v>
      </c>
      <c r="C87" s="163" t="s">
        <v>187</v>
      </c>
      <c r="D87" s="163" t="s">
        <v>581</v>
      </c>
      <c r="E87" s="163">
        <v>10</v>
      </c>
      <c r="F87" s="163">
        <v>83.4</v>
      </c>
      <c r="G87" s="163">
        <f t="shared" si="2"/>
        <v>9</v>
      </c>
      <c r="H87" s="168" t="s">
        <v>361</v>
      </c>
      <c r="I87" s="1">
        <f t="shared" si="3"/>
        <v>83.4</v>
      </c>
    </row>
    <row r="88" spans="1:9" ht="20.100000000000001" customHeight="1" x14ac:dyDescent="0.25">
      <c r="A88" s="166">
        <v>86</v>
      </c>
      <c r="B88" s="162" t="s">
        <v>58</v>
      </c>
      <c r="C88" s="163" t="s">
        <v>191</v>
      </c>
      <c r="D88" s="163" t="s">
        <v>583</v>
      </c>
      <c r="E88" s="163">
        <v>7</v>
      </c>
      <c r="F88" s="163">
        <v>83.5</v>
      </c>
      <c r="G88" s="163">
        <f t="shared" si="2"/>
        <v>9</v>
      </c>
      <c r="H88" s="168" t="s">
        <v>357</v>
      </c>
      <c r="I88" s="1">
        <f t="shared" si="3"/>
        <v>83.5</v>
      </c>
    </row>
    <row r="89" spans="1:9" ht="20.100000000000001" customHeight="1" x14ac:dyDescent="0.25">
      <c r="A89" s="166">
        <v>87</v>
      </c>
      <c r="B89" s="162" t="s">
        <v>212</v>
      </c>
      <c r="C89" s="163" t="s">
        <v>191</v>
      </c>
      <c r="D89" s="163" t="s">
        <v>578</v>
      </c>
      <c r="E89" s="163">
        <v>10</v>
      </c>
      <c r="F89" s="163">
        <v>84.2</v>
      </c>
      <c r="G89" s="163">
        <f t="shared" si="2"/>
        <v>9</v>
      </c>
      <c r="H89" s="168" t="s">
        <v>355</v>
      </c>
      <c r="I89" s="1">
        <f t="shared" si="3"/>
        <v>84.2</v>
      </c>
    </row>
    <row r="90" spans="1:9" ht="20.100000000000001" customHeight="1" x14ac:dyDescent="0.25">
      <c r="A90" s="166">
        <v>88</v>
      </c>
      <c r="B90" s="162" t="s">
        <v>112</v>
      </c>
      <c r="C90" s="163" t="s">
        <v>191</v>
      </c>
      <c r="D90" s="163" t="s">
        <v>556</v>
      </c>
      <c r="E90" s="163">
        <v>13</v>
      </c>
      <c r="F90" s="163">
        <v>84.3</v>
      </c>
      <c r="G90" s="163">
        <f t="shared" si="2"/>
        <v>9</v>
      </c>
      <c r="H90" s="168" t="s">
        <v>356</v>
      </c>
      <c r="I90" s="1">
        <f t="shared" si="3"/>
        <v>84.3</v>
      </c>
    </row>
    <row r="91" spans="1:9" ht="20.100000000000001" customHeight="1" x14ac:dyDescent="0.25">
      <c r="A91" s="166">
        <v>89</v>
      </c>
      <c r="B91" s="162" t="s">
        <v>106</v>
      </c>
      <c r="C91" s="163" t="s">
        <v>575</v>
      </c>
      <c r="D91" s="163" t="s">
        <v>555</v>
      </c>
      <c r="E91" s="163">
        <v>8</v>
      </c>
      <c r="F91" s="163">
        <v>87.5</v>
      </c>
      <c r="G91" s="163">
        <f t="shared" si="2"/>
        <v>9</v>
      </c>
      <c r="H91" s="168" t="s">
        <v>361</v>
      </c>
      <c r="I91" s="1">
        <f t="shared" si="3"/>
        <v>75.5</v>
      </c>
    </row>
    <row r="92" spans="1:9" ht="20.100000000000001" customHeight="1" x14ac:dyDescent="0.25">
      <c r="A92" s="166">
        <v>90</v>
      </c>
      <c r="B92" s="162" t="s">
        <v>103</v>
      </c>
      <c r="C92" s="163" t="s">
        <v>576</v>
      </c>
      <c r="D92" s="163" t="s">
        <v>551</v>
      </c>
      <c r="E92" s="163">
        <v>6</v>
      </c>
      <c r="F92" s="163">
        <v>88.4</v>
      </c>
      <c r="G92" s="163">
        <f t="shared" si="2"/>
        <v>9</v>
      </c>
      <c r="H92" s="168"/>
      <c r="I92" s="1">
        <f t="shared" si="3"/>
        <v>88.4</v>
      </c>
    </row>
    <row r="93" spans="1:9" ht="20.100000000000001" customHeight="1" x14ac:dyDescent="0.25">
      <c r="A93" s="166">
        <v>91</v>
      </c>
      <c r="B93" s="162" t="s">
        <v>366</v>
      </c>
      <c r="C93" s="163" t="s">
        <v>187</v>
      </c>
      <c r="D93" s="163" t="s">
        <v>578</v>
      </c>
      <c r="E93" s="163">
        <v>10</v>
      </c>
      <c r="F93" s="163">
        <v>88.6</v>
      </c>
      <c r="G93" s="163">
        <f t="shared" si="2"/>
        <v>9</v>
      </c>
      <c r="H93" s="168" t="s">
        <v>357</v>
      </c>
      <c r="I93" s="1">
        <f t="shared" si="3"/>
        <v>88.6</v>
      </c>
    </row>
    <row r="94" spans="1:9" ht="20.100000000000001" customHeight="1" x14ac:dyDescent="0.25">
      <c r="A94" s="166">
        <v>92</v>
      </c>
      <c r="B94" s="162" t="s">
        <v>588</v>
      </c>
      <c r="C94" s="163" t="s">
        <v>589</v>
      </c>
      <c r="D94" s="163" t="s">
        <v>581</v>
      </c>
      <c r="E94" s="163">
        <v>10</v>
      </c>
      <c r="F94" s="163">
        <v>90.5</v>
      </c>
      <c r="G94" s="163">
        <f t="shared" si="2"/>
        <v>10</v>
      </c>
      <c r="H94" s="168"/>
      <c r="I94" s="1">
        <f t="shared" si="3"/>
        <v>90.5</v>
      </c>
    </row>
    <row r="95" spans="1:9" ht="20.100000000000001" customHeight="1" x14ac:dyDescent="0.25">
      <c r="A95" s="166">
        <v>93</v>
      </c>
      <c r="B95" s="162" t="s">
        <v>590</v>
      </c>
      <c r="C95" s="163" t="s">
        <v>589</v>
      </c>
      <c r="D95" s="163" t="s">
        <v>554</v>
      </c>
      <c r="E95" s="163">
        <v>11</v>
      </c>
      <c r="F95" s="163">
        <v>91.9</v>
      </c>
      <c r="G95" s="163">
        <f t="shared" si="2"/>
        <v>10</v>
      </c>
      <c r="H95" s="168"/>
      <c r="I95" s="1">
        <f t="shared" si="3"/>
        <v>91.9</v>
      </c>
    </row>
    <row r="96" spans="1:9" ht="20.100000000000001" customHeight="1" x14ac:dyDescent="0.25">
      <c r="A96" s="166">
        <v>94</v>
      </c>
      <c r="B96" s="162" t="s">
        <v>90</v>
      </c>
      <c r="C96" s="163" t="s">
        <v>575</v>
      </c>
      <c r="D96" s="163" t="s">
        <v>583</v>
      </c>
      <c r="E96" s="163">
        <v>7</v>
      </c>
      <c r="F96" s="163">
        <v>92.2</v>
      </c>
      <c r="G96" s="163">
        <f t="shared" si="2"/>
        <v>10</v>
      </c>
      <c r="H96" s="168" t="s">
        <v>192</v>
      </c>
      <c r="I96" s="1">
        <f t="shared" si="3"/>
        <v>80.2</v>
      </c>
    </row>
    <row r="97" spans="1:9" ht="20.100000000000001" customHeight="1" x14ac:dyDescent="0.25">
      <c r="A97" s="166">
        <v>95</v>
      </c>
      <c r="B97" s="162" t="s">
        <v>96</v>
      </c>
      <c r="C97" s="163" t="s">
        <v>191</v>
      </c>
      <c r="D97" s="163" t="s">
        <v>566</v>
      </c>
      <c r="E97" s="163">
        <v>7</v>
      </c>
      <c r="F97" s="163">
        <v>93.2</v>
      </c>
      <c r="G97" s="163">
        <f t="shared" si="2"/>
        <v>10</v>
      </c>
      <c r="H97" s="168" t="s">
        <v>355</v>
      </c>
      <c r="I97" s="1">
        <f t="shared" si="3"/>
        <v>93.2</v>
      </c>
    </row>
    <row r="98" spans="1:9" ht="20.100000000000001" customHeight="1" x14ac:dyDescent="0.25">
      <c r="A98" s="166">
        <v>96</v>
      </c>
      <c r="B98" s="162" t="s">
        <v>7</v>
      </c>
      <c r="C98" s="163" t="s">
        <v>191</v>
      </c>
      <c r="D98" s="163" t="s">
        <v>579</v>
      </c>
      <c r="E98" s="163">
        <v>7</v>
      </c>
      <c r="F98" s="163">
        <v>93.5</v>
      </c>
      <c r="G98" s="163">
        <f t="shared" si="2"/>
        <v>10</v>
      </c>
      <c r="H98" s="168" t="s">
        <v>190</v>
      </c>
      <c r="I98" s="1">
        <f t="shared" si="3"/>
        <v>93.5</v>
      </c>
    </row>
    <row r="99" spans="1:9" ht="20.100000000000001" customHeight="1" x14ac:dyDescent="0.25">
      <c r="A99" s="166">
        <v>97</v>
      </c>
      <c r="B99" s="162" t="s">
        <v>105</v>
      </c>
      <c r="C99" s="163" t="s">
        <v>191</v>
      </c>
      <c r="D99" s="163" t="s">
        <v>574</v>
      </c>
      <c r="E99" s="163">
        <v>11</v>
      </c>
      <c r="F99" s="163">
        <v>93.9</v>
      </c>
      <c r="G99" s="163">
        <f t="shared" si="2"/>
        <v>10</v>
      </c>
      <c r="H99" s="168" t="s">
        <v>188</v>
      </c>
      <c r="I99" s="1">
        <f t="shared" si="3"/>
        <v>93.9</v>
      </c>
    </row>
    <row r="100" spans="1:9" ht="20.100000000000001" customHeight="1" x14ac:dyDescent="0.25">
      <c r="A100" s="166">
        <v>98</v>
      </c>
      <c r="B100" s="162" t="s">
        <v>591</v>
      </c>
      <c r="C100" s="163" t="s">
        <v>191</v>
      </c>
      <c r="D100" s="163" t="s">
        <v>567</v>
      </c>
      <c r="E100" s="163">
        <v>8</v>
      </c>
      <c r="F100" s="163">
        <v>94.1</v>
      </c>
      <c r="G100" s="163">
        <f t="shared" si="2"/>
        <v>10</v>
      </c>
      <c r="H100" s="168"/>
      <c r="I100" s="1">
        <f t="shared" si="3"/>
        <v>94.1</v>
      </c>
    </row>
    <row r="101" spans="1:9" ht="20.100000000000001" customHeight="1" x14ac:dyDescent="0.25">
      <c r="A101" s="166">
        <v>99</v>
      </c>
      <c r="B101" s="162" t="s">
        <v>132</v>
      </c>
      <c r="C101" s="163" t="s">
        <v>575</v>
      </c>
      <c r="D101" s="163" t="s">
        <v>580</v>
      </c>
      <c r="E101" s="163">
        <v>10</v>
      </c>
      <c r="F101" s="163">
        <v>95.7</v>
      </c>
      <c r="G101" s="163">
        <f t="shared" si="2"/>
        <v>10</v>
      </c>
      <c r="H101" s="168" t="s">
        <v>355</v>
      </c>
      <c r="I101" s="1">
        <f t="shared" si="3"/>
        <v>83.7</v>
      </c>
    </row>
    <row r="102" spans="1:9" ht="20.100000000000001" customHeight="1" x14ac:dyDescent="0.25">
      <c r="A102" s="166">
        <v>100</v>
      </c>
      <c r="B102" s="162" t="s">
        <v>50</v>
      </c>
      <c r="C102" s="163" t="s">
        <v>187</v>
      </c>
      <c r="D102" s="163" t="s">
        <v>581</v>
      </c>
      <c r="E102" s="163">
        <v>10</v>
      </c>
      <c r="F102" s="163">
        <v>96.6</v>
      </c>
      <c r="G102" s="163">
        <f t="shared" si="2"/>
        <v>10</v>
      </c>
      <c r="H102" s="168" t="s">
        <v>361</v>
      </c>
      <c r="I102" s="1">
        <f t="shared" si="3"/>
        <v>96.6</v>
      </c>
    </row>
    <row r="103" spans="1:9" ht="20.100000000000001" customHeight="1" x14ac:dyDescent="0.25">
      <c r="A103" s="166">
        <v>101</v>
      </c>
      <c r="B103" s="162" t="s">
        <v>129</v>
      </c>
      <c r="C103" s="163" t="s">
        <v>187</v>
      </c>
      <c r="D103" s="163" t="s">
        <v>559</v>
      </c>
      <c r="E103" s="163">
        <v>6</v>
      </c>
      <c r="F103" s="163">
        <v>98.2</v>
      </c>
      <c r="G103" s="163">
        <f t="shared" si="2"/>
        <v>10</v>
      </c>
      <c r="H103" s="168" t="s">
        <v>360</v>
      </c>
      <c r="I103" s="1">
        <f t="shared" si="3"/>
        <v>98.2</v>
      </c>
    </row>
    <row r="104" spans="1:9" ht="20.100000000000001" customHeight="1" x14ac:dyDescent="0.25">
      <c r="A104" s="166">
        <v>102</v>
      </c>
      <c r="B104" s="162" t="s">
        <v>12</v>
      </c>
      <c r="C104" s="163" t="s">
        <v>575</v>
      </c>
      <c r="D104" s="163" t="s">
        <v>561</v>
      </c>
      <c r="E104" s="163">
        <v>5</v>
      </c>
      <c r="F104" s="163">
        <v>99</v>
      </c>
      <c r="G104" s="163">
        <f t="shared" si="2"/>
        <v>10</v>
      </c>
      <c r="H104" s="168"/>
      <c r="I104" s="1">
        <f t="shared" si="3"/>
        <v>87</v>
      </c>
    </row>
    <row r="105" spans="1:9" ht="20.100000000000001" customHeight="1" x14ac:dyDescent="0.25">
      <c r="A105" s="166">
        <v>103</v>
      </c>
      <c r="B105" s="162" t="s">
        <v>107</v>
      </c>
      <c r="C105" s="163" t="s">
        <v>191</v>
      </c>
      <c r="D105" s="163" t="s">
        <v>559</v>
      </c>
      <c r="E105" s="163">
        <v>6</v>
      </c>
      <c r="F105" s="163">
        <v>100.5</v>
      </c>
      <c r="G105" s="163">
        <f t="shared" si="2"/>
        <v>11</v>
      </c>
      <c r="H105" s="168" t="s">
        <v>356</v>
      </c>
      <c r="I105" s="1">
        <f t="shared" si="3"/>
        <v>100.5</v>
      </c>
    </row>
    <row r="106" spans="1:9" ht="20.100000000000001" customHeight="1" x14ac:dyDescent="0.25">
      <c r="A106" s="166">
        <v>104</v>
      </c>
      <c r="B106" s="162" t="s">
        <v>592</v>
      </c>
      <c r="C106" s="163" t="s">
        <v>589</v>
      </c>
      <c r="D106" s="163" t="s">
        <v>568</v>
      </c>
      <c r="E106" s="163">
        <v>8</v>
      </c>
      <c r="F106" s="163">
        <v>100.5</v>
      </c>
      <c r="G106" s="163">
        <f t="shared" si="2"/>
        <v>11</v>
      </c>
      <c r="H106" s="168"/>
      <c r="I106" s="1">
        <f t="shared" si="3"/>
        <v>100.5</v>
      </c>
    </row>
    <row r="107" spans="1:9" ht="20.100000000000001" customHeight="1" x14ac:dyDescent="0.25">
      <c r="A107" s="166">
        <v>105</v>
      </c>
      <c r="B107" s="162" t="s">
        <v>130</v>
      </c>
      <c r="C107" s="163" t="s">
        <v>191</v>
      </c>
      <c r="D107" s="163" t="s">
        <v>560</v>
      </c>
      <c r="E107" s="163">
        <v>7</v>
      </c>
      <c r="F107" s="163">
        <v>101.3</v>
      </c>
      <c r="G107" s="163">
        <f t="shared" si="2"/>
        <v>11</v>
      </c>
      <c r="H107" s="168" t="s">
        <v>359</v>
      </c>
      <c r="I107" s="1">
        <f t="shared" si="3"/>
        <v>101.3</v>
      </c>
    </row>
    <row r="108" spans="1:9" ht="20.100000000000001" customHeight="1" x14ac:dyDescent="0.25">
      <c r="A108" s="166">
        <v>106</v>
      </c>
      <c r="B108" s="162" t="s">
        <v>151</v>
      </c>
      <c r="C108" s="163" t="s">
        <v>576</v>
      </c>
      <c r="D108" s="163" t="s">
        <v>574</v>
      </c>
      <c r="E108" s="163">
        <v>11</v>
      </c>
      <c r="F108" s="163">
        <v>104</v>
      </c>
      <c r="G108" s="163">
        <f t="shared" si="2"/>
        <v>11</v>
      </c>
      <c r="H108" s="168" t="s">
        <v>356</v>
      </c>
      <c r="I108" s="1">
        <f t="shared" si="3"/>
        <v>104</v>
      </c>
    </row>
    <row r="109" spans="1:9" ht="20.100000000000001" customHeight="1" x14ac:dyDescent="0.25">
      <c r="A109" s="166">
        <v>107</v>
      </c>
      <c r="B109" s="162" t="s">
        <v>82</v>
      </c>
      <c r="C109" s="163" t="s">
        <v>187</v>
      </c>
      <c r="D109" s="163" t="s">
        <v>579</v>
      </c>
      <c r="E109" s="163">
        <v>7</v>
      </c>
      <c r="F109" s="163">
        <v>105</v>
      </c>
      <c r="G109" s="163">
        <f t="shared" si="2"/>
        <v>11</v>
      </c>
      <c r="H109" s="168"/>
      <c r="I109" s="1">
        <f t="shared" si="3"/>
        <v>105</v>
      </c>
    </row>
    <row r="110" spans="1:9" ht="20.100000000000001" customHeight="1" x14ac:dyDescent="0.25">
      <c r="A110" s="166">
        <v>108</v>
      </c>
      <c r="B110" s="162" t="s">
        <v>47</v>
      </c>
      <c r="C110" s="163" t="s">
        <v>575</v>
      </c>
      <c r="D110" s="163" t="s">
        <v>566</v>
      </c>
      <c r="E110" s="163">
        <v>7</v>
      </c>
      <c r="F110" s="163">
        <v>105.2</v>
      </c>
      <c r="G110" s="163">
        <f t="shared" si="2"/>
        <v>11</v>
      </c>
      <c r="H110" s="168" t="s">
        <v>359</v>
      </c>
      <c r="I110" s="1">
        <f t="shared" si="3"/>
        <v>93.2</v>
      </c>
    </row>
    <row r="111" spans="1:9" ht="20.100000000000001" customHeight="1" x14ac:dyDescent="0.25">
      <c r="A111" s="166">
        <v>109</v>
      </c>
      <c r="B111" s="162" t="s">
        <v>33</v>
      </c>
      <c r="C111" s="163" t="s">
        <v>575</v>
      </c>
      <c r="D111" s="163" t="s">
        <v>551</v>
      </c>
      <c r="E111" s="163">
        <v>6</v>
      </c>
      <c r="F111" s="163">
        <v>105.8</v>
      </c>
      <c r="G111" s="163">
        <f t="shared" si="2"/>
        <v>11</v>
      </c>
      <c r="H111" s="168" t="s">
        <v>357</v>
      </c>
      <c r="I111" s="1">
        <f t="shared" si="3"/>
        <v>93.8</v>
      </c>
    </row>
    <row r="112" spans="1:9" ht="20.100000000000001" customHeight="1" x14ac:dyDescent="0.25">
      <c r="A112" s="166">
        <v>110</v>
      </c>
      <c r="B112" s="162" t="s">
        <v>120</v>
      </c>
      <c r="C112" s="163" t="s">
        <v>191</v>
      </c>
      <c r="D112" s="163" t="s">
        <v>561</v>
      </c>
      <c r="E112" s="163">
        <v>5</v>
      </c>
      <c r="F112" s="163">
        <v>106.2</v>
      </c>
      <c r="G112" s="163">
        <f t="shared" si="2"/>
        <v>11</v>
      </c>
      <c r="H112" s="168" t="s">
        <v>188</v>
      </c>
      <c r="I112" s="1">
        <f t="shared" si="3"/>
        <v>106.2</v>
      </c>
    </row>
    <row r="113" spans="1:9" ht="20.100000000000001" customHeight="1" x14ac:dyDescent="0.25">
      <c r="A113" s="166">
        <v>111</v>
      </c>
      <c r="B113" s="162" t="s">
        <v>1</v>
      </c>
      <c r="C113" s="163" t="s">
        <v>576</v>
      </c>
      <c r="D113" s="163" t="s">
        <v>561</v>
      </c>
      <c r="E113" s="163">
        <v>5</v>
      </c>
      <c r="F113" s="163">
        <v>108.3</v>
      </c>
      <c r="G113" s="163">
        <f t="shared" si="2"/>
        <v>11</v>
      </c>
      <c r="H113" s="168" t="s">
        <v>355</v>
      </c>
      <c r="I113" s="1">
        <f t="shared" si="3"/>
        <v>108.3</v>
      </c>
    </row>
    <row r="114" spans="1:9" ht="20.100000000000001" customHeight="1" x14ac:dyDescent="0.25">
      <c r="A114" s="166">
        <v>112</v>
      </c>
      <c r="B114" s="162" t="s">
        <v>125</v>
      </c>
      <c r="C114" s="163" t="s">
        <v>187</v>
      </c>
      <c r="D114" s="163" t="s">
        <v>577</v>
      </c>
      <c r="E114" s="163">
        <v>5</v>
      </c>
      <c r="F114" s="163">
        <v>108.4</v>
      </c>
      <c r="G114" s="163">
        <f t="shared" si="2"/>
        <v>11</v>
      </c>
      <c r="H114" s="168"/>
      <c r="I114" s="1">
        <f t="shared" si="3"/>
        <v>108.4</v>
      </c>
    </row>
    <row r="115" spans="1:9" ht="20.100000000000001" customHeight="1" x14ac:dyDescent="0.25">
      <c r="A115" s="166">
        <v>113</v>
      </c>
      <c r="B115" s="162" t="s">
        <v>246</v>
      </c>
      <c r="C115" s="163" t="s">
        <v>191</v>
      </c>
      <c r="D115" s="163" t="s">
        <v>555</v>
      </c>
      <c r="E115" s="163">
        <v>8</v>
      </c>
      <c r="F115" s="163">
        <v>108.9</v>
      </c>
      <c r="G115" s="163">
        <f t="shared" si="2"/>
        <v>11</v>
      </c>
      <c r="H115" s="168" t="s">
        <v>360</v>
      </c>
      <c r="I115" s="1">
        <f t="shared" si="3"/>
        <v>108.9</v>
      </c>
    </row>
    <row r="116" spans="1:9" ht="20.100000000000001" customHeight="1" x14ac:dyDescent="0.25">
      <c r="A116" s="166">
        <v>114</v>
      </c>
      <c r="B116" s="162" t="s">
        <v>384</v>
      </c>
      <c r="C116" s="163" t="s">
        <v>575</v>
      </c>
      <c r="D116" s="163" t="s">
        <v>571</v>
      </c>
      <c r="E116" s="163">
        <v>8</v>
      </c>
      <c r="F116" s="163">
        <v>110.3</v>
      </c>
      <c r="G116" s="163">
        <f t="shared" si="2"/>
        <v>12</v>
      </c>
      <c r="H116" s="168" t="s">
        <v>355</v>
      </c>
      <c r="I116" s="1">
        <f t="shared" si="3"/>
        <v>98.3</v>
      </c>
    </row>
    <row r="117" spans="1:9" ht="20.100000000000001" customHeight="1" x14ac:dyDescent="0.25">
      <c r="A117" s="166">
        <v>115</v>
      </c>
      <c r="B117" s="162" t="s">
        <v>147</v>
      </c>
      <c r="C117" s="163" t="s">
        <v>191</v>
      </c>
      <c r="D117" s="163" t="s">
        <v>555</v>
      </c>
      <c r="E117" s="163">
        <v>8</v>
      </c>
      <c r="F117" s="163">
        <v>110.9</v>
      </c>
      <c r="G117" s="163">
        <f t="shared" si="2"/>
        <v>12</v>
      </c>
      <c r="H117" s="168" t="s">
        <v>361</v>
      </c>
      <c r="I117" s="1">
        <f t="shared" si="3"/>
        <v>110.9</v>
      </c>
    </row>
    <row r="118" spans="1:9" ht="20.100000000000001" customHeight="1" x14ac:dyDescent="0.25">
      <c r="A118" s="166">
        <v>116</v>
      </c>
      <c r="B118" s="162" t="s">
        <v>593</v>
      </c>
      <c r="C118" s="163" t="s">
        <v>191</v>
      </c>
      <c r="D118" s="163" t="s">
        <v>565</v>
      </c>
      <c r="E118" s="163">
        <v>10</v>
      </c>
      <c r="F118" s="163">
        <v>111.5</v>
      </c>
      <c r="G118" s="163">
        <f t="shared" si="2"/>
        <v>12</v>
      </c>
      <c r="H118" s="168"/>
      <c r="I118" s="1">
        <f t="shared" si="3"/>
        <v>111.5</v>
      </c>
    </row>
    <row r="119" spans="1:9" ht="20.100000000000001" customHeight="1" x14ac:dyDescent="0.25">
      <c r="A119" s="166">
        <v>117</v>
      </c>
      <c r="B119" s="162" t="s">
        <v>375</v>
      </c>
      <c r="C119" s="163" t="s">
        <v>187</v>
      </c>
      <c r="D119" s="163" t="s">
        <v>580</v>
      </c>
      <c r="E119" s="163">
        <v>10</v>
      </c>
      <c r="F119" s="163">
        <v>111.5</v>
      </c>
      <c r="G119" s="163">
        <f t="shared" si="2"/>
        <v>12</v>
      </c>
      <c r="H119" s="168" t="s">
        <v>188</v>
      </c>
      <c r="I119" s="1">
        <f t="shared" si="3"/>
        <v>111.5</v>
      </c>
    </row>
    <row r="120" spans="1:9" ht="20.100000000000001" customHeight="1" x14ac:dyDescent="0.25">
      <c r="A120" s="166">
        <v>118</v>
      </c>
      <c r="B120" s="162" t="s">
        <v>86</v>
      </c>
      <c r="C120" s="163" t="s">
        <v>191</v>
      </c>
      <c r="D120" s="163" t="s">
        <v>564</v>
      </c>
      <c r="E120" s="163">
        <v>11</v>
      </c>
      <c r="F120" s="163">
        <v>112.6</v>
      </c>
      <c r="G120" s="163">
        <f t="shared" si="2"/>
        <v>12</v>
      </c>
      <c r="H120" s="168" t="s">
        <v>188</v>
      </c>
      <c r="I120" s="1">
        <f t="shared" si="3"/>
        <v>112.6</v>
      </c>
    </row>
    <row r="121" spans="1:9" ht="20.100000000000001" customHeight="1" x14ac:dyDescent="0.25">
      <c r="A121" s="166">
        <v>119</v>
      </c>
      <c r="B121" s="162" t="s">
        <v>34</v>
      </c>
      <c r="C121" s="163" t="s">
        <v>576</v>
      </c>
      <c r="D121" s="163" t="s">
        <v>555</v>
      </c>
      <c r="E121" s="163">
        <v>8</v>
      </c>
      <c r="F121" s="163">
        <v>114.8</v>
      </c>
      <c r="G121" s="163">
        <f t="shared" si="2"/>
        <v>12</v>
      </c>
      <c r="H121" s="168" t="s">
        <v>361</v>
      </c>
      <c r="I121" s="1">
        <f t="shared" si="3"/>
        <v>114.8</v>
      </c>
    </row>
    <row r="122" spans="1:9" ht="20.100000000000001" customHeight="1" x14ac:dyDescent="0.25">
      <c r="A122" s="166">
        <v>120</v>
      </c>
      <c r="B122" s="162" t="s">
        <v>594</v>
      </c>
      <c r="C122" s="163" t="s">
        <v>589</v>
      </c>
      <c r="D122" s="163" t="s">
        <v>559</v>
      </c>
      <c r="E122" s="163">
        <v>6</v>
      </c>
      <c r="F122" s="163">
        <v>115.2</v>
      </c>
      <c r="G122" s="163">
        <f t="shared" si="2"/>
        <v>12</v>
      </c>
      <c r="H122" s="168"/>
      <c r="I122" s="1">
        <f t="shared" si="3"/>
        <v>115.2</v>
      </c>
    </row>
    <row r="123" spans="1:9" ht="20.100000000000001" customHeight="1" x14ac:dyDescent="0.25">
      <c r="A123" s="166">
        <v>121</v>
      </c>
      <c r="B123" s="162" t="s">
        <v>232</v>
      </c>
      <c r="C123" s="163" t="s">
        <v>187</v>
      </c>
      <c r="D123" s="163" t="s">
        <v>579</v>
      </c>
      <c r="E123" s="163">
        <v>7</v>
      </c>
      <c r="F123" s="163">
        <v>115.3</v>
      </c>
      <c r="G123" s="163">
        <f t="shared" si="2"/>
        <v>12</v>
      </c>
      <c r="H123" s="168"/>
      <c r="I123" s="1">
        <f t="shared" si="3"/>
        <v>115.3</v>
      </c>
    </row>
    <row r="124" spans="1:9" ht="20.100000000000001" customHeight="1" x14ac:dyDescent="0.25">
      <c r="A124" s="166">
        <v>122</v>
      </c>
      <c r="B124" s="162" t="s">
        <v>46</v>
      </c>
      <c r="C124" s="163" t="s">
        <v>576</v>
      </c>
      <c r="D124" s="163" t="s">
        <v>565</v>
      </c>
      <c r="E124" s="163">
        <v>10</v>
      </c>
      <c r="F124" s="163">
        <v>115.5</v>
      </c>
      <c r="G124" s="163">
        <f t="shared" si="2"/>
        <v>12</v>
      </c>
      <c r="H124" s="168" t="s">
        <v>360</v>
      </c>
      <c r="I124" s="1">
        <f t="shared" si="3"/>
        <v>115.5</v>
      </c>
    </row>
    <row r="125" spans="1:9" ht="20.100000000000001" customHeight="1" x14ac:dyDescent="0.25">
      <c r="A125" s="166">
        <v>123</v>
      </c>
      <c r="B125" s="162" t="s">
        <v>215</v>
      </c>
      <c r="C125" s="163" t="s">
        <v>191</v>
      </c>
      <c r="D125" s="163" t="s">
        <v>574</v>
      </c>
      <c r="E125" s="163">
        <v>11</v>
      </c>
      <c r="F125" s="163">
        <v>117.3</v>
      </c>
      <c r="G125" s="163">
        <f t="shared" si="2"/>
        <v>12</v>
      </c>
      <c r="H125" s="168"/>
      <c r="I125" s="1">
        <f t="shared" si="3"/>
        <v>117.3</v>
      </c>
    </row>
    <row r="126" spans="1:9" ht="20.100000000000001" customHeight="1" x14ac:dyDescent="0.25">
      <c r="A126" s="166">
        <v>124</v>
      </c>
      <c r="B126" s="162" t="s">
        <v>595</v>
      </c>
      <c r="C126" s="163" t="s">
        <v>589</v>
      </c>
      <c r="D126" s="163" t="s">
        <v>552</v>
      </c>
      <c r="E126" s="163">
        <v>11</v>
      </c>
      <c r="F126" s="163">
        <v>118</v>
      </c>
      <c r="G126" s="163">
        <f t="shared" si="2"/>
        <v>12</v>
      </c>
      <c r="H126" s="168"/>
      <c r="I126" s="1">
        <f t="shared" si="3"/>
        <v>118</v>
      </c>
    </row>
    <row r="127" spans="1:9" ht="20.100000000000001" customHeight="1" x14ac:dyDescent="0.25">
      <c r="A127" s="166">
        <v>125</v>
      </c>
      <c r="B127" s="162" t="s">
        <v>153</v>
      </c>
      <c r="C127" s="163" t="s">
        <v>575</v>
      </c>
      <c r="D127" s="163" t="s">
        <v>581</v>
      </c>
      <c r="E127" s="163">
        <v>10</v>
      </c>
      <c r="F127" s="163">
        <v>118.1</v>
      </c>
      <c r="G127" s="163">
        <f t="shared" si="2"/>
        <v>12</v>
      </c>
      <c r="H127" s="168" t="s">
        <v>356</v>
      </c>
      <c r="I127" s="1">
        <f t="shared" si="3"/>
        <v>106.1</v>
      </c>
    </row>
    <row r="128" spans="1:9" ht="20.100000000000001" customHeight="1" x14ac:dyDescent="0.25">
      <c r="A128" s="166">
        <v>126</v>
      </c>
      <c r="B128" s="162" t="s">
        <v>143</v>
      </c>
      <c r="C128" s="163" t="s">
        <v>187</v>
      </c>
      <c r="D128" s="163" t="s">
        <v>552</v>
      </c>
      <c r="E128" s="163">
        <v>11</v>
      </c>
      <c r="F128" s="163">
        <v>122.6</v>
      </c>
      <c r="G128" s="163">
        <f t="shared" si="2"/>
        <v>13</v>
      </c>
      <c r="H128" s="168" t="s">
        <v>358</v>
      </c>
      <c r="I128" s="1">
        <f t="shared" si="3"/>
        <v>122.6</v>
      </c>
    </row>
    <row r="129" spans="1:9" ht="20.100000000000001" customHeight="1" x14ac:dyDescent="0.25">
      <c r="A129" s="166">
        <v>127</v>
      </c>
      <c r="B129" s="162" t="s">
        <v>596</v>
      </c>
      <c r="C129" s="163" t="s">
        <v>191</v>
      </c>
      <c r="D129" s="163" t="s">
        <v>577</v>
      </c>
      <c r="E129" s="163">
        <v>5</v>
      </c>
      <c r="F129" s="163">
        <v>122.8</v>
      </c>
      <c r="G129" s="163">
        <f t="shared" si="2"/>
        <v>13</v>
      </c>
      <c r="H129" s="168"/>
      <c r="I129" s="1">
        <f t="shared" si="3"/>
        <v>122.8</v>
      </c>
    </row>
    <row r="130" spans="1:9" ht="20.100000000000001" customHeight="1" x14ac:dyDescent="0.25">
      <c r="A130" s="166">
        <v>128</v>
      </c>
      <c r="B130" s="162" t="s">
        <v>219</v>
      </c>
      <c r="C130" s="163" t="s">
        <v>187</v>
      </c>
      <c r="D130" s="163" t="s">
        <v>559</v>
      </c>
      <c r="E130" s="163">
        <v>6</v>
      </c>
      <c r="F130" s="163">
        <v>123.6</v>
      </c>
      <c r="G130" s="163">
        <f t="shared" si="2"/>
        <v>13</v>
      </c>
      <c r="H130" s="168" t="s">
        <v>356</v>
      </c>
      <c r="I130" s="1">
        <f t="shared" si="3"/>
        <v>123.6</v>
      </c>
    </row>
    <row r="131" spans="1:9" ht="20.100000000000001" customHeight="1" x14ac:dyDescent="0.25">
      <c r="A131" s="166">
        <v>129</v>
      </c>
      <c r="B131" s="162" t="s">
        <v>155</v>
      </c>
      <c r="C131" s="163" t="s">
        <v>191</v>
      </c>
      <c r="D131" s="163" t="s">
        <v>577</v>
      </c>
      <c r="E131" s="163">
        <v>5</v>
      </c>
      <c r="F131" s="163">
        <v>123.7</v>
      </c>
      <c r="G131" s="163">
        <f t="shared" si="2"/>
        <v>13</v>
      </c>
      <c r="H131" s="168"/>
      <c r="I131" s="1">
        <f t="shared" si="3"/>
        <v>123.7</v>
      </c>
    </row>
    <row r="132" spans="1:9" ht="20.100000000000001" customHeight="1" x14ac:dyDescent="0.25">
      <c r="A132" s="166">
        <v>130</v>
      </c>
      <c r="B132" s="162" t="s">
        <v>597</v>
      </c>
      <c r="C132" s="163" t="s">
        <v>191</v>
      </c>
      <c r="D132" s="163" t="s">
        <v>582</v>
      </c>
      <c r="E132" s="163">
        <v>11</v>
      </c>
      <c r="F132" s="163">
        <v>126.7</v>
      </c>
      <c r="G132" s="163">
        <f t="shared" ref="G132:G182" si="4">ROUNDUP(F132/10,0)</f>
        <v>13</v>
      </c>
      <c r="H132" s="168"/>
      <c r="I132" s="1">
        <f t="shared" ref="I132:I182" si="5">IF($C132="QB",MAX(1,$F132-$K$2),$F132)</f>
        <v>126.7</v>
      </c>
    </row>
    <row r="133" spans="1:9" ht="20.100000000000001" customHeight="1" x14ac:dyDescent="0.25">
      <c r="A133" s="166">
        <v>131</v>
      </c>
      <c r="B133" s="162" t="s">
        <v>101</v>
      </c>
      <c r="C133" s="163" t="s">
        <v>191</v>
      </c>
      <c r="D133" s="163" t="s">
        <v>554</v>
      </c>
      <c r="E133" s="163">
        <v>11</v>
      </c>
      <c r="F133" s="163">
        <v>127.6</v>
      </c>
      <c r="G133" s="163">
        <f t="shared" si="4"/>
        <v>13</v>
      </c>
      <c r="H133" s="168" t="s">
        <v>357</v>
      </c>
      <c r="I133" s="1">
        <f t="shared" si="5"/>
        <v>127.6</v>
      </c>
    </row>
    <row r="134" spans="1:9" ht="20.100000000000001" customHeight="1" x14ac:dyDescent="0.25">
      <c r="A134" s="166">
        <v>132</v>
      </c>
      <c r="B134" s="162" t="s">
        <v>598</v>
      </c>
      <c r="C134" s="163" t="s">
        <v>589</v>
      </c>
      <c r="D134" s="163" t="s">
        <v>564</v>
      </c>
      <c r="E134" s="163">
        <v>11</v>
      </c>
      <c r="F134" s="163">
        <v>128.4</v>
      </c>
      <c r="G134" s="163">
        <f t="shared" si="4"/>
        <v>13</v>
      </c>
      <c r="H134" s="168"/>
      <c r="I134" s="1">
        <f t="shared" si="5"/>
        <v>128.4</v>
      </c>
    </row>
    <row r="135" spans="1:9" ht="20.100000000000001" customHeight="1" x14ac:dyDescent="0.25">
      <c r="A135" s="166">
        <v>133</v>
      </c>
      <c r="B135" s="162" t="s">
        <v>240</v>
      </c>
      <c r="C135" s="163" t="s">
        <v>191</v>
      </c>
      <c r="D135" s="163" t="s">
        <v>568</v>
      </c>
      <c r="E135" s="163">
        <v>8</v>
      </c>
      <c r="F135" s="163">
        <v>129.6</v>
      </c>
      <c r="G135" s="163">
        <f t="shared" si="4"/>
        <v>13</v>
      </c>
      <c r="H135" s="168" t="s">
        <v>358</v>
      </c>
      <c r="I135" s="1">
        <f t="shared" si="5"/>
        <v>129.6</v>
      </c>
    </row>
    <row r="136" spans="1:9" ht="20.100000000000001" customHeight="1" x14ac:dyDescent="0.25">
      <c r="A136" s="166">
        <v>134</v>
      </c>
      <c r="B136" s="162" t="s">
        <v>253</v>
      </c>
      <c r="C136" s="163" t="s">
        <v>575</v>
      </c>
      <c r="D136" s="163" t="s">
        <v>578</v>
      </c>
      <c r="E136" s="163">
        <v>10</v>
      </c>
      <c r="F136" s="163">
        <v>129.80000000000001</v>
      </c>
      <c r="G136" s="163">
        <f t="shared" si="4"/>
        <v>13</v>
      </c>
      <c r="H136" s="168" t="s">
        <v>361</v>
      </c>
      <c r="I136" s="1">
        <f t="shared" si="5"/>
        <v>117.80000000000001</v>
      </c>
    </row>
    <row r="137" spans="1:9" ht="20.100000000000001" customHeight="1" x14ac:dyDescent="0.25">
      <c r="A137" s="166">
        <v>135</v>
      </c>
      <c r="B137" s="162" t="s">
        <v>116</v>
      </c>
      <c r="C137" s="163" t="s">
        <v>599</v>
      </c>
      <c r="D137" s="163" t="s">
        <v>558</v>
      </c>
      <c r="E137" s="163">
        <v>14</v>
      </c>
      <c r="F137" s="163">
        <v>130.30000000000001</v>
      </c>
      <c r="G137" s="163">
        <f t="shared" si="4"/>
        <v>14</v>
      </c>
      <c r="H137" s="168" t="s">
        <v>360</v>
      </c>
      <c r="I137" s="1">
        <f t="shared" si="5"/>
        <v>130.30000000000001</v>
      </c>
    </row>
    <row r="138" spans="1:9" ht="20.100000000000001" customHeight="1" x14ac:dyDescent="0.25">
      <c r="A138" s="166">
        <v>136</v>
      </c>
      <c r="B138" s="162" t="s">
        <v>600</v>
      </c>
      <c r="C138" s="163" t="s">
        <v>589</v>
      </c>
      <c r="D138" s="163" t="s">
        <v>551</v>
      </c>
      <c r="E138" s="163">
        <v>6</v>
      </c>
      <c r="F138" s="163">
        <v>130.6</v>
      </c>
      <c r="G138" s="163">
        <f t="shared" si="4"/>
        <v>14</v>
      </c>
      <c r="H138" s="168"/>
      <c r="I138" s="1">
        <f t="shared" si="5"/>
        <v>130.6</v>
      </c>
    </row>
    <row r="139" spans="1:9" ht="20.100000000000001" customHeight="1" x14ac:dyDescent="0.25">
      <c r="A139" s="166">
        <v>137</v>
      </c>
      <c r="B139" s="162" t="s">
        <v>601</v>
      </c>
      <c r="C139" s="163" t="s">
        <v>589</v>
      </c>
      <c r="D139" s="163" t="s">
        <v>565</v>
      </c>
      <c r="E139" s="163">
        <v>10</v>
      </c>
      <c r="F139" s="163">
        <v>131.6</v>
      </c>
      <c r="G139" s="163">
        <f t="shared" si="4"/>
        <v>14</v>
      </c>
      <c r="H139" s="168"/>
      <c r="I139" s="1">
        <f t="shared" si="5"/>
        <v>131.6</v>
      </c>
    </row>
    <row r="140" spans="1:9" ht="20.100000000000001" customHeight="1" x14ac:dyDescent="0.25">
      <c r="A140" s="166">
        <v>138</v>
      </c>
      <c r="B140" s="162" t="s">
        <v>56</v>
      </c>
      <c r="C140" s="163" t="s">
        <v>191</v>
      </c>
      <c r="D140" s="163" t="s">
        <v>582</v>
      </c>
      <c r="E140" s="163">
        <v>11</v>
      </c>
      <c r="F140" s="163">
        <v>132.5</v>
      </c>
      <c r="G140" s="163">
        <f t="shared" si="4"/>
        <v>14</v>
      </c>
      <c r="H140" s="168" t="s">
        <v>360</v>
      </c>
      <c r="I140" s="1">
        <f t="shared" si="5"/>
        <v>132.5</v>
      </c>
    </row>
    <row r="141" spans="1:9" ht="20.100000000000001" customHeight="1" x14ac:dyDescent="0.25">
      <c r="A141" s="166">
        <v>139</v>
      </c>
      <c r="B141" s="162" t="s">
        <v>386</v>
      </c>
      <c r="C141" s="163" t="s">
        <v>191</v>
      </c>
      <c r="D141" s="163" t="s">
        <v>562</v>
      </c>
      <c r="E141" s="163">
        <v>13</v>
      </c>
      <c r="F141" s="163">
        <v>133</v>
      </c>
      <c r="G141" s="163">
        <f t="shared" si="4"/>
        <v>14</v>
      </c>
      <c r="H141" s="168" t="s">
        <v>359</v>
      </c>
      <c r="I141" s="1">
        <f t="shared" si="5"/>
        <v>133</v>
      </c>
    </row>
    <row r="142" spans="1:9" ht="20.100000000000001" customHeight="1" x14ac:dyDescent="0.25">
      <c r="A142" s="166">
        <v>140</v>
      </c>
      <c r="B142" s="162" t="s">
        <v>95</v>
      </c>
      <c r="C142" s="163" t="s">
        <v>187</v>
      </c>
      <c r="D142" s="163" t="s">
        <v>585</v>
      </c>
      <c r="E142" s="163">
        <v>9</v>
      </c>
      <c r="F142" s="163">
        <v>133.30000000000001</v>
      </c>
      <c r="G142" s="163">
        <f t="shared" si="4"/>
        <v>14</v>
      </c>
      <c r="H142" s="168" t="s">
        <v>357</v>
      </c>
      <c r="I142" s="1">
        <f t="shared" si="5"/>
        <v>133.30000000000001</v>
      </c>
    </row>
    <row r="143" spans="1:9" ht="20.100000000000001" customHeight="1" x14ac:dyDescent="0.25">
      <c r="A143" s="166">
        <v>141</v>
      </c>
      <c r="B143" s="162" t="s">
        <v>104</v>
      </c>
      <c r="C143" s="163" t="s">
        <v>576</v>
      </c>
      <c r="D143" s="163" t="s">
        <v>558</v>
      </c>
      <c r="E143" s="163">
        <v>14</v>
      </c>
      <c r="F143" s="163">
        <v>134.80000000000001</v>
      </c>
      <c r="G143" s="163">
        <f t="shared" si="4"/>
        <v>14</v>
      </c>
      <c r="H143" s="168" t="s">
        <v>361</v>
      </c>
      <c r="I143" s="1">
        <f t="shared" si="5"/>
        <v>134.80000000000001</v>
      </c>
    </row>
    <row r="144" spans="1:9" ht="20.100000000000001" customHeight="1" x14ac:dyDescent="0.25">
      <c r="A144" s="166">
        <v>142</v>
      </c>
      <c r="B144" s="162" t="s">
        <v>602</v>
      </c>
      <c r="C144" s="163" t="s">
        <v>576</v>
      </c>
      <c r="D144" s="163" t="s">
        <v>571</v>
      </c>
      <c r="E144" s="163">
        <v>8</v>
      </c>
      <c r="F144" s="163">
        <v>135.4</v>
      </c>
      <c r="G144" s="163">
        <f t="shared" si="4"/>
        <v>14</v>
      </c>
      <c r="H144" s="168"/>
      <c r="I144" s="1">
        <f t="shared" si="5"/>
        <v>135.4</v>
      </c>
    </row>
    <row r="145" spans="1:9" ht="20.100000000000001" customHeight="1" x14ac:dyDescent="0.25">
      <c r="A145" s="166">
        <v>143</v>
      </c>
      <c r="B145" s="162" t="s">
        <v>38</v>
      </c>
      <c r="C145" s="163" t="s">
        <v>576</v>
      </c>
      <c r="D145" s="163" t="s">
        <v>563</v>
      </c>
      <c r="E145" s="163">
        <v>13</v>
      </c>
      <c r="F145" s="163">
        <v>136.30000000000001</v>
      </c>
      <c r="G145" s="163">
        <f t="shared" si="4"/>
        <v>14</v>
      </c>
      <c r="H145" s="168" t="s">
        <v>360</v>
      </c>
      <c r="I145" s="1">
        <f t="shared" si="5"/>
        <v>136.30000000000001</v>
      </c>
    </row>
    <row r="146" spans="1:9" ht="20.100000000000001" customHeight="1" x14ac:dyDescent="0.25">
      <c r="A146" s="166">
        <v>144</v>
      </c>
      <c r="B146" s="162" t="s">
        <v>51</v>
      </c>
      <c r="C146" s="163" t="s">
        <v>191</v>
      </c>
      <c r="D146" s="163" t="s">
        <v>585</v>
      </c>
      <c r="E146" s="163">
        <v>9</v>
      </c>
      <c r="F146" s="163">
        <v>136.69999999999999</v>
      </c>
      <c r="G146" s="163">
        <f t="shared" si="4"/>
        <v>14</v>
      </c>
      <c r="H146" s="168"/>
      <c r="I146" s="1">
        <f t="shared" si="5"/>
        <v>136.69999999999999</v>
      </c>
    </row>
    <row r="147" spans="1:9" ht="20.100000000000001" customHeight="1" x14ac:dyDescent="0.25">
      <c r="A147" s="166">
        <v>145</v>
      </c>
      <c r="B147" s="162" t="s">
        <v>603</v>
      </c>
      <c r="C147" s="163" t="s">
        <v>575</v>
      </c>
      <c r="D147" s="163" t="s">
        <v>567</v>
      </c>
      <c r="E147" s="163">
        <v>8</v>
      </c>
      <c r="F147" s="163">
        <v>136.80000000000001</v>
      </c>
      <c r="G147" s="163">
        <f t="shared" si="4"/>
        <v>14</v>
      </c>
      <c r="H147" s="168"/>
      <c r="I147" s="1">
        <f t="shared" si="5"/>
        <v>124.80000000000001</v>
      </c>
    </row>
    <row r="148" spans="1:9" ht="20.100000000000001" customHeight="1" x14ac:dyDescent="0.25">
      <c r="A148" s="166">
        <v>146</v>
      </c>
      <c r="B148" s="162" t="s">
        <v>604</v>
      </c>
      <c r="C148" s="163" t="s">
        <v>191</v>
      </c>
      <c r="D148" s="163" t="s">
        <v>557</v>
      </c>
      <c r="E148" s="163">
        <v>6</v>
      </c>
      <c r="F148" s="163">
        <v>138.19999999999999</v>
      </c>
      <c r="G148" s="163">
        <f t="shared" si="4"/>
        <v>14</v>
      </c>
      <c r="H148" s="168"/>
      <c r="I148" s="1">
        <f t="shared" si="5"/>
        <v>138.19999999999999</v>
      </c>
    </row>
    <row r="149" spans="1:9" ht="20.100000000000001" customHeight="1" x14ac:dyDescent="0.25">
      <c r="A149" s="166">
        <v>147</v>
      </c>
      <c r="B149" s="162" t="s">
        <v>22</v>
      </c>
      <c r="C149" s="163" t="s">
        <v>575</v>
      </c>
      <c r="D149" s="163" t="s">
        <v>559</v>
      </c>
      <c r="E149" s="163">
        <v>6</v>
      </c>
      <c r="F149" s="163">
        <v>138.30000000000001</v>
      </c>
      <c r="G149" s="163">
        <f t="shared" si="4"/>
        <v>14</v>
      </c>
      <c r="H149" s="168"/>
      <c r="I149" s="1">
        <f t="shared" si="5"/>
        <v>126.30000000000001</v>
      </c>
    </row>
    <row r="150" spans="1:9" ht="20.100000000000001" customHeight="1" x14ac:dyDescent="0.25">
      <c r="A150" s="166">
        <v>148</v>
      </c>
      <c r="B150" s="162" t="s">
        <v>98</v>
      </c>
      <c r="C150" s="163" t="s">
        <v>187</v>
      </c>
      <c r="D150" s="163" t="s">
        <v>554</v>
      </c>
      <c r="E150" s="163">
        <v>11</v>
      </c>
      <c r="F150" s="163">
        <v>139</v>
      </c>
      <c r="G150" s="163">
        <f t="shared" si="4"/>
        <v>14</v>
      </c>
      <c r="H150" s="168" t="s">
        <v>188</v>
      </c>
      <c r="I150" s="1">
        <f t="shared" si="5"/>
        <v>139</v>
      </c>
    </row>
    <row r="151" spans="1:9" ht="20.100000000000001" customHeight="1" x14ac:dyDescent="0.25">
      <c r="A151" s="166">
        <v>149</v>
      </c>
      <c r="B151" s="162" t="s">
        <v>605</v>
      </c>
      <c r="C151" s="163" t="s">
        <v>599</v>
      </c>
      <c r="D151" s="163" t="s">
        <v>554</v>
      </c>
      <c r="E151" s="163">
        <v>11</v>
      </c>
      <c r="F151" s="163">
        <v>140.30000000000001</v>
      </c>
      <c r="G151" s="163">
        <f t="shared" si="4"/>
        <v>15</v>
      </c>
      <c r="H151" s="168"/>
      <c r="I151" s="1">
        <f t="shared" si="5"/>
        <v>140.30000000000001</v>
      </c>
    </row>
    <row r="152" spans="1:9" ht="20.100000000000001" customHeight="1" x14ac:dyDescent="0.25">
      <c r="A152" s="166">
        <v>150</v>
      </c>
      <c r="B152" s="162" t="s">
        <v>606</v>
      </c>
      <c r="C152" s="163" t="s">
        <v>589</v>
      </c>
      <c r="D152" s="163" t="s">
        <v>584</v>
      </c>
      <c r="E152" s="163">
        <v>9</v>
      </c>
      <c r="F152" s="163">
        <v>141.4</v>
      </c>
      <c r="G152" s="163">
        <f t="shared" si="4"/>
        <v>15</v>
      </c>
      <c r="H152" s="168"/>
      <c r="I152" s="1">
        <f t="shared" si="5"/>
        <v>141.4</v>
      </c>
    </row>
    <row r="153" spans="1:9" ht="20.100000000000001" customHeight="1" x14ac:dyDescent="0.25">
      <c r="A153" s="166">
        <v>151</v>
      </c>
      <c r="B153" s="162" t="s">
        <v>122</v>
      </c>
      <c r="C153" s="163" t="s">
        <v>599</v>
      </c>
      <c r="D153" s="163" t="s">
        <v>568</v>
      </c>
      <c r="E153" s="163">
        <v>8</v>
      </c>
      <c r="F153" s="163">
        <v>141.69999999999999</v>
      </c>
      <c r="G153" s="163">
        <f t="shared" si="4"/>
        <v>15</v>
      </c>
      <c r="H153" s="168" t="s">
        <v>192</v>
      </c>
      <c r="I153" s="1">
        <f t="shared" si="5"/>
        <v>141.69999999999999</v>
      </c>
    </row>
    <row r="154" spans="1:9" ht="20.100000000000001" customHeight="1" x14ac:dyDescent="0.25">
      <c r="A154" s="166">
        <v>152</v>
      </c>
      <c r="B154" s="162" t="s">
        <v>23</v>
      </c>
      <c r="C154" s="163" t="s">
        <v>187</v>
      </c>
      <c r="D154" s="163" t="s">
        <v>567</v>
      </c>
      <c r="E154" s="163">
        <v>8</v>
      </c>
      <c r="F154" s="163">
        <v>142.9</v>
      </c>
      <c r="G154" s="163">
        <f t="shared" si="4"/>
        <v>15</v>
      </c>
      <c r="H154" s="168" t="s">
        <v>188</v>
      </c>
      <c r="I154" s="1">
        <f t="shared" si="5"/>
        <v>142.9</v>
      </c>
    </row>
    <row r="155" spans="1:9" ht="20.100000000000001" customHeight="1" x14ac:dyDescent="0.25">
      <c r="A155" s="166">
        <v>153</v>
      </c>
      <c r="B155" s="162" t="s">
        <v>149</v>
      </c>
      <c r="C155" s="163" t="s">
        <v>575</v>
      </c>
      <c r="D155" s="163" t="s">
        <v>554</v>
      </c>
      <c r="E155" s="163">
        <v>11</v>
      </c>
      <c r="F155" s="163">
        <v>143</v>
      </c>
      <c r="G155" s="163">
        <f t="shared" si="4"/>
        <v>15</v>
      </c>
      <c r="H155" s="168"/>
      <c r="I155" s="1">
        <f t="shared" si="5"/>
        <v>131</v>
      </c>
    </row>
    <row r="156" spans="1:9" ht="20.100000000000001" customHeight="1" x14ac:dyDescent="0.25">
      <c r="A156" s="166">
        <v>154</v>
      </c>
      <c r="B156" s="162" t="s">
        <v>607</v>
      </c>
      <c r="C156" s="163" t="s">
        <v>191</v>
      </c>
      <c r="D156" s="163" t="s">
        <v>578</v>
      </c>
      <c r="E156" s="163">
        <v>10</v>
      </c>
      <c r="F156" s="163">
        <v>143.30000000000001</v>
      </c>
      <c r="G156" s="163">
        <f t="shared" si="4"/>
        <v>15</v>
      </c>
      <c r="H156" s="168"/>
      <c r="I156" s="1">
        <f t="shared" si="5"/>
        <v>143.30000000000001</v>
      </c>
    </row>
    <row r="157" spans="1:9" ht="20.100000000000001" customHeight="1" x14ac:dyDescent="0.25">
      <c r="A157" s="166">
        <v>155</v>
      </c>
      <c r="B157" s="162" t="s">
        <v>134</v>
      </c>
      <c r="C157" s="163" t="s">
        <v>599</v>
      </c>
      <c r="D157" s="163" t="s">
        <v>566</v>
      </c>
      <c r="E157" s="163">
        <v>7</v>
      </c>
      <c r="F157" s="163">
        <v>143.69999999999999</v>
      </c>
      <c r="G157" s="163">
        <f t="shared" si="4"/>
        <v>15</v>
      </c>
      <c r="H157" s="168" t="s">
        <v>356</v>
      </c>
      <c r="I157" s="1">
        <f t="shared" si="5"/>
        <v>143.69999999999999</v>
      </c>
    </row>
    <row r="158" spans="1:9" ht="20.100000000000001" customHeight="1" x14ac:dyDescent="0.25">
      <c r="A158" s="166">
        <v>156</v>
      </c>
      <c r="B158" s="162" t="s">
        <v>608</v>
      </c>
      <c r="C158" s="163" t="s">
        <v>589</v>
      </c>
      <c r="D158" s="163" t="s">
        <v>555</v>
      </c>
      <c r="E158" s="163">
        <v>8</v>
      </c>
      <c r="F158" s="163">
        <v>144.30000000000001</v>
      </c>
      <c r="G158" s="163">
        <f t="shared" si="4"/>
        <v>15</v>
      </c>
      <c r="H158" s="168"/>
      <c r="I158" s="1">
        <f t="shared" si="5"/>
        <v>144.30000000000001</v>
      </c>
    </row>
    <row r="159" spans="1:9" ht="20.100000000000001" customHeight="1" x14ac:dyDescent="0.25">
      <c r="A159" s="166">
        <v>157</v>
      </c>
      <c r="B159" s="162" t="s">
        <v>137</v>
      </c>
      <c r="C159" s="163" t="s">
        <v>575</v>
      </c>
      <c r="D159" s="163" t="s">
        <v>574</v>
      </c>
      <c r="E159" s="163">
        <v>11</v>
      </c>
      <c r="F159" s="163">
        <v>144.5</v>
      </c>
      <c r="G159" s="163">
        <f t="shared" si="4"/>
        <v>15</v>
      </c>
      <c r="H159" s="168" t="s">
        <v>360</v>
      </c>
      <c r="I159" s="1">
        <f t="shared" si="5"/>
        <v>132.5</v>
      </c>
    </row>
    <row r="160" spans="1:9" ht="20.100000000000001" customHeight="1" x14ac:dyDescent="0.25">
      <c r="A160" s="166">
        <v>158</v>
      </c>
      <c r="B160" s="162" t="s">
        <v>609</v>
      </c>
      <c r="C160" s="163" t="s">
        <v>589</v>
      </c>
      <c r="D160" s="163" t="s">
        <v>566</v>
      </c>
      <c r="E160" s="163">
        <v>7</v>
      </c>
      <c r="F160" s="163">
        <v>144.69999999999999</v>
      </c>
      <c r="G160" s="163">
        <f t="shared" si="4"/>
        <v>15</v>
      </c>
      <c r="H160" s="168"/>
      <c r="I160" s="1">
        <f t="shared" si="5"/>
        <v>144.69999999999999</v>
      </c>
    </row>
    <row r="161" spans="1:9" ht="20.100000000000001" customHeight="1" x14ac:dyDescent="0.25">
      <c r="A161" s="166">
        <v>159</v>
      </c>
      <c r="B161" s="162" t="s">
        <v>152</v>
      </c>
      <c r="C161" s="163" t="s">
        <v>191</v>
      </c>
      <c r="D161" s="163" t="s">
        <v>559</v>
      </c>
      <c r="E161" s="163">
        <v>6</v>
      </c>
      <c r="F161" s="163">
        <v>144.80000000000001</v>
      </c>
      <c r="G161" s="163">
        <f t="shared" si="4"/>
        <v>15</v>
      </c>
      <c r="H161" s="168" t="s">
        <v>361</v>
      </c>
      <c r="I161" s="1">
        <f t="shared" si="5"/>
        <v>144.80000000000001</v>
      </c>
    </row>
    <row r="162" spans="1:9" ht="20.100000000000001" customHeight="1" x14ac:dyDescent="0.25">
      <c r="A162" s="166">
        <v>160</v>
      </c>
      <c r="B162" s="162" t="s">
        <v>610</v>
      </c>
      <c r="C162" s="163" t="s">
        <v>191</v>
      </c>
      <c r="D162" s="163" t="s">
        <v>582</v>
      </c>
      <c r="E162" s="163">
        <v>11</v>
      </c>
      <c r="F162" s="163">
        <v>146.5</v>
      </c>
      <c r="G162" s="163">
        <f t="shared" si="4"/>
        <v>15</v>
      </c>
      <c r="H162" s="168"/>
      <c r="I162" s="1">
        <f t="shared" si="5"/>
        <v>146.5</v>
      </c>
    </row>
    <row r="163" spans="1:9" ht="20.100000000000001" customHeight="1" x14ac:dyDescent="0.25">
      <c r="A163" s="166">
        <v>161</v>
      </c>
      <c r="B163" s="162" t="s">
        <v>611</v>
      </c>
      <c r="C163" s="163" t="s">
        <v>191</v>
      </c>
      <c r="D163" s="163" t="s">
        <v>581</v>
      </c>
      <c r="E163" s="163">
        <v>10</v>
      </c>
      <c r="F163" s="163">
        <v>147.1</v>
      </c>
      <c r="G163" s="163">
        <f t="shared" si="4"/>
        <v>15</v>
      </c>
      <c r="H163" s="168"/>
      <c r="I163" s="1">
        <f t="shared" si="5"/>
        <v>147.1</v>
      </c>
    </row>
    <row r="164" spans="1:9" ht="20.100000000000001" customHeight="1" x14ac:dyDescent="0.25">
      <c r="A164" s="166">
        <v>162</v>
      </c>
      <c r="B164" s="162" t="s">
        <v>222</v>
      </c>
      <c r="C164" s="163" t="s">
        <v>191</v>
      </c>
      <c r="D164" s="163" t="s">
        <v>563</v>
      </c>
      <c r="E164" s="163">
        <v>13</v>
      </c>
      <c r="F164" s="163">
        <v>147.19999999999999</v>
      </c>
      <c r="G164" s="163">
        <f t="shared" si="4"/>
        <v>15</v>
      </c>
      <c r="H164" s="168"/>
      <c r="I164" s="1">
        <f t="shared" si="5"/>
        <v>147.19999999999999</v>
      </c>
    </row>
    <row r="165" spans="1:9" ht="20.100000000000001" customHeight="1" x14ac:dyDescent="0.25">
      <c r="A165" s="166">
        <v>163</v>
      </c>
      <c r="B165" s="162" t="s">
        <v>146</v>
      </c>
      <c r="C165" s="163" t="s">
        <v>599</v>
      </c>
      <c r="D165" s="163" t="s">
        <v>551</v>
      </c>
      <c r="E165" s="163">
        <v>6</v>
      </c>
      <c r="F165" s="163">
        <v>148.19999999999999</v>
      </c>
      <c r="G165" s="163">
        <f t="shared" si="4"/>
        <v>15</v>
      </c>
      <c r="H165" s="168"/>
      <c r="I165" s="1">
        <f t="shared" si="5"/>
        <v>148.19999999999999</v>
      </c>
    </row>
    <row r="166" spans="1:9" ht="20.100000000000001" customHeight="1" x14ac:dyDescent="0.25">
      <c r="A166" s="166">
        <v>164</v>
      </c>
      <c r="B166" s="162" t="s">
        <v>145</v>
      </c>
      <c r="C166" s="163" t="s">
        <v>187</v>
      </c>
      <c r="D166" s="163" t="s">
        <v>570</v>
      </c>
      <c r="E166" s="163">
        <v>13</v>
      </c>
      <c r="F166" s="163">
        <v>149.69999999999999</v>
      </c>
      <c r="G166" s="163">
        <f t="shared" si="4"/>
        <v>15</v>
      </c>
      <c r="H166" s="168" t="s">
        <v>190</v>
      </c>
      <c r="I166" s="1">
        <f t="shared" si="5"/>
        <v>149.69999999999999</v>
      </c>
    </row>
    <row r="167" spans="1:9" ht="20.100000000000001" customHeight="1" x14ac:dyDescent="0.25">
      <c r="A167" s="166">
        <v>165</v>
      </c>
      <c r="B167" s="162" t="s">
        <v>612</v>
      </c>
      <c r="C167" s="163" t="s">
        <v>187</v>
      </c>
      <c r="D167" s="163" t="s">
        <v>562</v>
      </c>
      <c r="E167" s="163">
        <v>13</v>
      </c>
      <c r="F167" s="163">
        <v>150.1</v>
      </c>
      <c r="G167" s="163">
        <f t="shared" si="4"/>
        <v>16</v>
      </c>
      <c r="H167" s="168"/>
      <c r="I167" s="1">
        <f t="shared" si="5"/>
        <v>150.1</v>
      </c>
    </row>
    <row r="168" spans="1:9" ht="20.100000000000001" customHeight="1" x14ac:dyDescent="0.25">
      <c r="A168" s="166">
        <v>166</v>
      </c>
      <c r="B168" s="162" t="s">
        <v>613</v>
      </c>
      <c r="C168" s="163" t="s">
        <v>191</v>
      </c>
      <c r="D168" s="163" t="s">
        <v>555</v>
      </c>
      <c r="E168" s="163">
        <v>8</v>
      </c>
      <c r="F168" s="163">
        <v>150.4</v>
      </c>
      <c r="G168" s="163">
        <f t="shared" si="4"/>
        <v>16</v>
      </c>
      <c r="H168" s="168"/>
      <c r="I168" s="1">
        <f t="shared" si="5"/>
        <v>150.4</v>
      </c>
    </row>
    <row r="169" spans="1:9" ht="20.100000000000001" customHeight="1" x14ac:dyDescent="0.25">
      <c r="A169" s="166">
        <v>167</v>
      </c>
      <c r="B169" s="162" t="s">
        <v>213</v>
      </c>
      <c r="C169" s="163" t="s">
        <v>187</v>
      </c>
      <c r="D169" s="163" t="s">
        <v>568</v>
      </c>
      <c r="E169" s="163">
        <v>8</v>
      </c>
      <c r="F169" s="163">
        <v>150.4</v>
      </c>
      <c r="G169" s="163">
        <f t="shared" si="4"/>
        <v>16</v>
      </c>
      <c r="H169" s="168" t="s">
        <v>355</v>
      </c>
      <c r="I169" s="1">
        <f t="shared" si="5"/>
        <v>150.4</v>
      </c>
    </row>
    <row r="170" spans="1:9" ht="20.100000000000001" customHeight="1" x14ac:dyDescent="0.25">
      <c r="A170" s="166">
        <v>168</v>
      </c>
      <c r="B170" s="162" t="s">
        <v>365</v>
      </c>
      <c r="C170" s="163" t="s">
        <v>191</v>
      </c>
      <c r="D170" s="163" t="s">
        <v>585</v>
      </c>
      <c r="E170" s="163">
        <v>9</v>
      </c>
      <c r="F170" s="163">
        <v>150.80000000000001</v>
      </c>
      <c r="G170" s="163">
        <f t="shared" si="4"/>
        <v>16</v>
      </c>
      <c r="H170" s="168" t="s">
        <v>357</v>
      </c>
      <c r="I170" s="1">
        <f t="shared" si="5"/>
        <v>150.80000000000001</v>
      </c>
    </row>
    <row r="171" spans="1:9" ht="20.100000000000001" customHeight="1" x14ac:dyDescent="0.25">
      <c r="A171" s="166">
        <v>169</v>
      </c>
      <c r="B171" s="162" t="s">
        <v>614</v>
      </c>
      <c r="C171" s="163" t="s">
        <v>191</v>
      </c>
      <c r="D171" s="163" t="s">
        <v>561</v>
      </c>
      <c r="E171" s="163">
        <v>5</v>
      </c>
      <c r="F171" s="163">
        <v>151.19999999999999</v>
      </c>
      <c r="G171" s="163">
        <f t="shared" si="4"/>
        <v>16</v>
      </c>
      <c r="H171" s="168"/>
      <c r="I171" s="1">
        <f t="shared" si="5"/>
        <v>151.19999999999999</v>
      </c>
    </row>
    <row r="172" spans="1:9" ht="20.100000000000001" customHeight="1" x14ac:dyDescent="0.25">
      <c r="A172" s="166">
        <v>170</v>
      </c>
      <c r="B172" s="162" t="s">
        <v>148</v>
      </c>
      <c r="C172" s="163" t="s">
        <v>187</v>
      </c>
      <c r="D172" s="163" t="s">
        <v>571</v>
      </c>
      <c r="E172" s="163">
        <v>8</v>
      </c>
      <c r="F172" s="163">
        <v>151.4</v>
      </c>
      <c r="G172" s="163">
        <f t="shared" si="4"/>
        <v>16</v>
      </c>
      <c r="H172" s="168" t="s">
        <v>355</v>
      </c>
      <c r="I172" s="1">
        <f t="shared" si="5"/>
        <v>151.4</v>
      </c>
    </row>
    <row r="173" spans="1:9" ht="20.100000000000001" customHeight="1" x14ac:dyDescent="0.25">
      <c r="A173" s="166">
        <v>171</v>
      </c>
      <c r="B173" s="162" t="s">
        <v>615</v>
      </c>
      <c r="C173" s="163" t="s">
        <v>191</v>
      </c>
      <c r="D173" s="163" t="s">
        <v>557</v>
      </c>
      <c r="E173" s="163">
        <v>6</v>
      </c>
      <c r="F173" s="163">
        <v>151.6</v>
      </c>
      <c r="G173" s="163">
        <f t="shared" si="4"/>
        <v>16</v>
      </c>
      <c r="H173" s="168"/>
      <c r="I173" s="1">
        <f t="shared" si="5"/>
        <v>151.6</v>
      </c>
    </row>
    <row r="174" spans="1:9" ht="20.100000000000001" customHeight="1" x14ac:dyDescent="0.25">
      <c r="A174" s="166">
        <v>172</v>
      </c>
      <c r="B174" s="162" t="s">
        <v>616</v>
      </c>
      <c r="C174" s="163" t="s">
        <v>599</v>
      </c>
      <c r="D174" s="163" t="s">
        <v>552</v>
      </c>
      <c r="E174" s="163">
        <v>11</v>
      </c>
      <c r="F174" s="163">
        <v>152.69999999999999</v>
      </c>
      <c r="G174" s="163">
        <f t="shared" si="4"/>
        <v>16</v>
      </c>
      <c r="H174" s="168"/>
      <c r="I174" s="1">
        <f t="shared" si="5"/>
        <v>152.69999999999999</v>
      </c>
    </row>
    <row r="175" spans="1:9" ht="20.100000000000001" customHeight="1" x14ac:dyDescent="0.25">
      <c r="A175" s="166">
        <v>173</v>
      </c>
      <c r="B175" s="162" t="s">
        <v>108</v>
      </c>
      <c r="C175" s="163" t="s">
        <v>576</v>
      </c>
      <c r="D175" s="163" t="s">
        <v>560</v>
      </c>
      <c r="E175" s="163">
        <v>7</v>
      </c>
      <c r="F175" s="163">
        <v>152.9</v>
      </c>
      <c r="G175" s="163">
        <f t="shared" si="4"/>
        <v>16</v>
      </c>
      <c r="H175" s="168"/>
      <c r="I175" s="1">
        <f t="shared" si="5"/>
        <v>152.9</v>
      </c>
    </row>
    <row r="176" spans="1:9" ht="20.100000000000001" customHeight="1" x14ac:dyDescent="0.25">
      <c r="A176" s="166">
        <v>174</v>
      </c>
      <c r="B176" s="162" t="s">
        <v>617</v>
      </c>
      <c r="C176" s="163" t="s">
        <v>575</v>
      </c>
      <c r="D176" s="163" t="s">
        <v>556</v>
      </c>
      <c r="E176" s="163">
        <v>13</v>
      </c>
      <c r="F176" s="163">
        <v>153</v>
      </c>
      <c r="G176" s="163">
        <f t="shared" si="4"/>
        <v>16</v>
      </c>
      <c r="H176" s="168"/>
      <c r="I176" s="1">
        <f t="shared" si="5"/>
        <v>141</v>
      </c>
    </row>
    <row r="177" spans="1:9" ht="20.100000000000001" customHeight="1" x14ac:dyDescent="0.25">
      <c r="A177" s="166">
        <v>175</v>
      </c>
      <c r="B177" s="162" t="s">
        <v>618</v>
      </c>
      <c r="C177" s="163" t="s">
        <v>187</v>
      </c>
      <c r="D177" s="163" t="s">
        <v>566</v>
      </c>
      <c r="E177" s="163">
        <v>7</v>
      </c>
      <c r="F177" s="163">
        <v>153.1</v>
      </c>
      <c r="G177" s="163">
        <f t="shared" si="4"/>
        <v>16</v>
      </c>
      <c r="H177" s="168"/>
      <c r="I177" s="1">
        <f t="shared" si="5"/>
        <v>153.1</v>
      </c>
    </row>
    <row r="178" spans="1:9" ht="20.100000000000001" customHeight="1" x14ac:dyDescent="0.25">
      <c r="A178" s="166">
        <v>176</v>
      </c>
      <c r="B178" s="162" t="s">
        <v>118</v>
      </c>
      <c r="C178" s="163" t="s">
        <v>191</v>
      </c>
      <c r="D178" s="163" t="s">
        <v>568</v>
      </c>
      <c r="E178" s="163">
        <v>8</v>
      </c>
      <c r="F178" s="163">
        <v>153.30000000000001</v>
      </c>
      <c r="G178" s="163">
        <f t="shared" si="4"/>
        <v>16</v>
      </c>
      <c r="H178" s="168"/>
      <c r="I178" s="1">
        <f t="shared" si="5"/>
        <v>153.30000000000001</v>
      </c>
    </row>
    <row r="179" spans="1:9" ht="20.100000000000001" customHeight="1" x14ac:dyDescent="0.25">
      <c r="A179" s="166">
        <v>177</v>
      </c>
      <c r="B179" s="162" t="s">
        <v>224</v>
      </c>
      <c r="C179" s="163" t="s">
        <v>187</v>
      </c>
      <c r="D179" s="163" t="s">
        <v>551</v>
      </c>
      <c r="E179" s="163">
        <v>6</v>
      </c>
      <c r="F179" s="163">
        <v>153.9</v>
      </c>
      <c r="G179" s="163">
        <f t="shared" si="4"/>
        <v>16</v>
      </c>
      <c r="H179" s="168" t="s">
        <v>359</v>
      </c>
      <c r="I179" s="1">
        <f t="shared" si="5"/>
        <v>153.9</v>
      </c>
    </row>
    <row r="180" spans="1:9" ht="20.100000000000001" customHeight="1" x14ac:dyDescent="0.25">
      <c r="A180" s="166">
        <v>178</v>
      </c>
      <c r="B180" s="162" t="s">
        <v>619</v>
      </c>
      <c r="C180" s="163" t="s">
        <v>191</v>
      </c>
      <c r="D180" s="163" t="s">
        <v>562</v>
      </c>
      <c r="E180" s="163">
        <v>13</v>
      </c>
      <c r="F180" s="163">
        <v>153.9</v>
      </c>
      <c r="G180" s="163">
        <f t="shared" si="4"/>
        <v>16</v>
      </c>
      <c r="H180" s="168"/>
      <c r="I180" s="1">
        <f t="shared" si="5"/>
        <v>153.9</v>
      </c>
    </row>
    <row r="181" spans="1:9" ht="20.100000000000001" customHeight="1" x14ac:dyDescent="0.25">
      <c r="A181" s="166">
        <v>179</v>
      </c>
      <c r="B181" s="162" t="s">
        <v>391</v>
      </c>
      <c r="C181" s="163" t="s">
        <v>576</v>
      </c>
      <c r="D181" s="163" t="s">
        <v>567</v>
      </c>
      <c r="E181" s="163">
        <v>8</v>
      </c>
      <c r="F181" s="163">
        <v>154.30000000000001</v>
      </c>
      <c r="G181" s="163">
        <f t="shared" si="4"/>
        <v>16</v>
      </c>
      <c r="H181" s="168" t="s">
        <v>192</v>
      </c>
      <c r="I181" s="1">
        <f t="shared" si="5"/>
        <v>154.30000000000001</v>
      </c>
    </row>
    <row r="182" spans="1:9" ht="20.100000000000001" customHeight="1" x14ac:dyDescent="0.25">
      <c r="A182" s="167">
        <v>180</v>
      </c>
      <c r="B182" s="164" t="s">
        <v>68</v>
      </c>
      <c r="C182" s="165" t="s">
        <v>576</v>
      </c>
      <c r="D182" s="165" t="s">
        <v>568</v>
      </c>
      <c r="E182" s="165">
        <v>8</v>
      </c>
      <c r="F182" s="165">
        <v>154.80000000000001</v>
      </c>
      <c r="G182" s="165">
        <f t="shared" si="4"/>
        <v>16</v>
      </c>
      <c r="H182" s="169" t="s">
        <v>192</v>
      </c>
      <c r="I182" s="1">
        <f t="shared" si="5"/>
        <v>154.80000000000001</v>
      </c>
    </row>
  </sheetData>
  <mergeCells count="1">
    <mergeCell ref="A1:H1"/>
  </mergeCells>
  <conditionalFormatting sqref="A3:H182">
    <cfRule type="expression" dxfId="210" priority="1">
      <formula>$H3&lt;&gt;""</formula>
    </cfRule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16</vt:i4>
      </vt:variant>
    </vt:vector>
  </HeadingPairs>
  <TitlesOfParts>
    <vt:vector size="16" baseType="lpstr">
      <vt:lpstr>Rules</vt:lpstr>
      <vt:lpstr>League Settings</vt:lpstr>
      <vt:lpstr>Draft Order-Traded Picks</vt:lpstr>
      <vt:lpstr>2026 Keeper Draft Spot</vt:lpstr>
      <vt:lpstr>jen's Legendary Team</vt:lpstr>
      <vt:lpstr>The real sultan</vt:lpstr>
      <vt:lpstr>Aarons got a Gun</vt:lpstr>
      <vt:lpstr>Prestige Worldwide</vt:lpstr>
      <vt:lpstr>Colin for the win</vt:lpstr>
      <vt:lpstr>The V&amp;G Express</vt:lpstr>
      <vt:lpstr>Maye I put it in your Boutte</vt:lpstr>
      <vt:lpstr>Leeroy Judkins</vt:lpstr>
      <vt:lpstr>Any given Sunday</vt:lpstr>
      <vt:lpstr>Saquon deez nutz</vt:lpstr>
      <vt:lpstr>2025 Draft Results (Detailed)</vt:lpstr>
      <vt:lpstr>2026 ADP (PPR)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Jimmie Legs</dc:creator>
  <cp:lastModifiedBy>Jimmie Legs</cp:lastModifiedBy>
  <dcterms:created xsi:type="dcterms:W3CDTF">2020-08-24T00:57:25Z</dcterms:created>
  <dcterms:modified xsi:type="dcterms:W3CDTF">2026-08-18T02:17:14Z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defa4170-0d19-0005-0004-bc88714345d2_Enabled">
    <vt:lpwstr>true</vt:lpwstr>
  </property>
  <property fmtid="{D5CDD505-2E9C-101B-9397-08002B2CF9AE}" pid="3" name="MSIP_Label_defa4170-0d19-0005-0004-bc88714345d2_SetDate">
    <vt:lpwstr>2025-08-13T13:59:03Z</vt:lpwstr>
  </property>
  <property fmtid="{D5CDD505-2E9C-101B-9397-08002B2CF9AE}" pid="4" name="MSIP_Label_defa4170-0d19-0005-0004-bc88714345d2_Method">
    <vt:lpwstr>Standard</vt:lpwstr>
  </property>
  <property fmtid="{D5CDD505-2E9C-101B-9397-08002B2CF9AE}" pid="5" name="MSIP_Label_defa4170-0d19-0005-0004-bc88714345d2_Name">
    <vt:lpwstr>defa4170-0d19-0005-0004-bc88714345d2</vt:lpwstr>
  </property>
  <property fmtid="{D5CDD505-2E9C-101B-9397-08002B2CF9AE}" pid="6" name="MSIP_Label_defa4170-0d19-0005-0004-bc88714345d2_SiteId">
    <vt:lpwstr>7901b892-6faa-4ca6-bb5d-f3b92c2534e8</vt:lpwstr>
  </property>
  <property fmtid="{D5CDD505-2E9C-101B-9397-08002B2CF9AE}" pid="7" name="MSIP_Label_defa4170-0d19-0005-0004-bc88714345d2_ActionId">
    <vt:lpwstr>549a1301-7aec-45ca-80b9-cbe3c7bb6a83</vt:lpwstr>
  </property>
  <property fmtid="{D5CDD505-2E9C-101B-9397-08002B2CF9AE}" pid="8" name="MSIP_Label_defa4170-0d19-0005-0004-bc88714345d2_ContentBits">
    <vt:lpwstr>0</vt:lpwstr>
  </property>
  <property fmtid="{D5CDD505-2E9C-101B-9397-08002B2CF9AE}" pid="9" name="MSIP_Label_defa4170-0d19-0005-0004-bc88714345d2_Tag">
    <vt:lpwstr>10, 3, 0, 1</vt:lpwstr>
  </property>
</Properties>
</file>